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maangupta/Documents/"/>
    </mc:Choice>
  </mc:AlternateContent>
  <xr:revisionPtr revIDLastSave="0" documentId="13_ncr:1_{4C4DC14A-C7F5-E443-9DA1-908CD0C3390A}" xr6:coauthVersionLast="47" xr6:coauthVersionMax="47" xr10:uidLastSave="{00000000-0000-0000-0000-000000000000}"/>
  <bookViews>
    <workbookView xWindow="0" yWindow="500" windowWidth="51200" windowHeight="28300" activeTab="1" xr2:uid="{67465143-DB62-C44E-BBF5-8788FB07B9BE}"/>
  </bookViews>
  <sheets>
    <sheet name="Assumptions" sheetId="2" r:id="rId1"/>
    <sheet name="Master" sheetId="23" r:id="rId2"/>
    <sheet name="518 35th St" sheetId="21" r:id="rId3"/>
    <sheet name="1148 36th St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B53" i="1"/>
  <c r="B52" i="1"/>
  <c r="C52" i="1"/>
  <c r="B53" i="21"/>
  <c r="C53" i="21"/>
  <c r="C52" i="21"/>
  <c r="B52" i="21"/>
  <c r="C37" i="21"/>
  <c r="C40" i="21"/>
  <c r="C39" i="21"/>
  <c r="C38" i="21"/>
  <c r="C27" i="21"/>
  <c r="C28" i="21" s="1"/>
  <c r="B27" i="21"/>
  <c r="B28" i="21" s="1"/>
  <c r="C25" i="21"/>
  <c r="C26" i="21" s="1"/>
  <c r="B25" i="21"/>
  <c r="B26" i="21" s="1"/>
  <c r="C20" i="21"/>
  <c r="B20" i="21"/>
  <c r="C17" i="21"/>
  <c r="C18" i="21" s="1"/>
  <c r="C19" i="21" s="1"/>
  <c r="C22" i="21" s="1"/>
  <c r="C23" i="21" s="1"/>
  <c r="C24" i="21" s="1"/>
  <c r="B17" i="21"/>
  <c r="B18" i="21" s="1"/>
  <c r="B19" i="21" s="1"/>
  <c r="B22" i="21" s="1"/>
  <c r="B23" i="21" s="1"/>
  <c r="B24" i="21" s="1"/>
  <c r="C13" i="21"/>
  <c r="B13" i="21"/>
  <c r="B9" i="21"/>
  <c r="C40" i="1"/>
  <c r="C39" i="1"/>
  <c r="C38" i="1"/>
  <c r="C37" i="1"/>
  <c r="C25" i="1"/>
  <c r="C26" i="1" s="1"/>
  <c r="B25" i="1"/>
  <c r="B26" i="1" s="1"/>
  <c r="C27" i="1"/>
  <c r="C28" i="1" s="1"/>
  <c r="C20" i="1"/>
  <c r="C17" i="1"/>
  <c r="C18" i="1" s="1"/>
  <c r="C19" i="1" s="1"/>
  <c r="C22" i="1" s="1"/>
  <c r="C23" i="1" s="1"/>
  <c r="C24" i="1" s="1"/>
  <c r="C13" i="1"/>
  <c r="B27" i="1"/>
  <c r="B28" i="1" s="1"/>
  <c r="B20" i="1"/>
  <c r="B13" i="1"/>
  <c r="B17" i="1"/>
  <c r="B18" i="1" s="1"/>
  <c r="B19" i="1" s="1"/>
  <c r="B4" i="2"/>
  <c r="B8" i="2"/>
  <c r="B9" i="1"/>
  <c r="B3" i="2"/>
  <c r="P4" i="23" a="1"/>
  <c r="P3" i="23" a="1"/>
  <c r="O4" i="23" a="1"/>
  <c r="D4" i="23" a="1"/>
  <c r="D3" i="23" a="1"/>
  <c r="C4" i="23" a="1"/>
  <c r="C3" i="23" a="1"/>
  <c r="B4" i="23" a="1"/>
  <c r="B3" i="23" a="1"/>
  <c r="N4" i="23" a="1"/>
  <c r="M4" i="23" a="1"/>
  <c r="E4" i="23" a="1"/>
  <c r="E3" i="23" a="1"/>
  <c r="F4" i="23" a="1"/>
  <c r="F3" i="23" a="1"/>
  <c r="P4" i="23" l="1"/>
  <c r="P3" i="23"/>
  <c r="O4" i="23"/>
  <c r="D4" i="23"/>
  <c r="D3" i="23"/>
  <c r="C4" i="23"/>
  <c r="C3" i="23"/>
  <c r="B4" i="23"/>
  <c r="B3" i="23"/>
  <c r="N4" i="23"/>
  <c r="M4" i="23"/>
  <c r="B33" i="21"/>
  <c r="C33" i="21"/>
  <c r="E4" i="23"/>
  <c r="E3" i="23"/>
  <c r="F4" i="23"/>
  <c r="F3" i="23"/>
  <c r="C42" i="21"/>
  <c r="B21" i="21"/>
  <c r="B29" i="21" s="1"/>
  <c r="C21" i="21"/>
  <c r="C29" i="21" s="1"/>
  <c r="B21" i="1"/>
  <c r="B29" i="1" s="1"/>
  <c r="B22" i="1"/>
  <c r="B23" i="1" s="1"/>
  <c r="B24" i="1" s="1"/>
  <c r="C42" i="1"/>
  <c r="B54" i="1" s="1"/>
  <c r="C33" i="1"/>
  <c r="C21" i="1"/>
  <c r="C29" i="1" s="1"/>
  <c r="B33" i="1"/>
  <c r="G3" i="23" a="1"/>
  <c r="H3" i="23" a="1"/>
  <c r="G4" i="23" a="1"/>
  <c r="H4" i="23" a="1"/>
  <c r="H3" i="23" l="1"/>
  <c r="G3" i="23"/>
  <c r="C43" i="21"/>
  <c r="B54" i="21"/>
  <c r="H4" i="23"/>
  <c r="G4" i="23"/>
  <c r="C30" i="21"/>
  <c r="C31" i="21"/>
  <c r="B30" i="21"/>
  <c r="B31" i="21"/>
  <c r="C43" i="1"/>
  <c r="B31" i="1"/>
  <c r="B30" i="1"/>
  <c r="B32" i="1" s="1"/>
  <c r="C30" i="1"/>
  <c r="C31" i="1"/>
  <c r="C32" i="1"/>
  <c r="J3" i="23" a="1"/>
  <c r="I3" i="23" a="1"/>
  <c r="I3" i="23" l="1"/>
  <c r="J3" i="23"/>
  <c r="B45" i="1"/>
  <c r="C45" i="1"/>
  <c r="C32" i="21"/>
  <c r="B32" i="21"/>
  <c r="C45" i="21"/>
  <c r="C47" i="21" s="1"/>
  <c r="C44" i="21"/>
  <c r="B44" i="1"/>
  <c r="C44" i="1"/>
  <c r="K3" i="23" a="1"/>
  <c r="L3" i="23" a="1"/>
  <c r="J4" i="23" a="1"/>
  <c r="L4" i="23" a="1"/>
  <c r="I4" i="23" a="1"/>
  <c r="L3" i="23" l="1"/>
  <c r="K3" i="23"/>
  <c r="C47" i="1"/>
  <c r="C51" i="1"/>
  <c r="C46" i="1"/>
  <c r="C50" i="1"/>
  <c r="B50" i="1"/>
  <c r="B46" i="1"/>
  <c r="B47" i="1"/>
  <c r="B51" i="1"/>
  <c r="C51" i="21"/>
  <c r="I4" i="23"/>
  <c r="L4" i="23"/>
  <c r="J4" i="23"/>
  <c r="B45" i="21"/>
  <c r="B47" i="21" s="1"/>
  <c r="C46" i="21"/>
  <c r="B44" i="21"/>
  <c r="N3" i="23" a="1"/>
  <c r="O3" i="23" a="1"/>
  <c r="M3" i="23" a="1"/>
  <c r="K4" i="23" a="1"/>
  <c r="M3" i="23" l="1"/>
  <c r="O3" i="23"/>
  <c r="N3" i="23"/>
  <c r="C50" i="21"/>
  <c r="B51" i="21"/>
  <c r="K4" i="23"/>
  <c r="B46" i="21"/>
  <c r="B50" i="2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<sst xmlns="http://schemas.openxmlformats.org/spreadsheetml/2006/main" count="182" uniqueCount="97">
  <si>
    <t>Purchase Price</t>
  </si>
  <si>
    <t>Property Details</t>
  </si>
  <si>
    <t>Financials</t>
  </si>
  <si>
    <t>Mortgage</t>
  </si>
  <si>
    <t>Closing Costs</t>
  </si>
  <si>
    <t>Rehab Costs (Optional)</t>
  </si>
  <si>
    <t>Square Feet</t>
  </si>
  <si>
    <t>Bedrooms</t>
  </si>
  <si>
    <t>Bathrooms</t>
  </si>
  <si>
    <t>Lot Size (Sqr ft)</t>
  </si>
  <si>
    <t>Built in Year</t>
  </si>
  <si>
    <t>Property Tax Percentage</t>
  </si>
  <si>
    <t>Assumption</t>
  </si>
  <si>
    <t>Value</t>
  </si>
  <si>
    <t>Des Moines Property Tax Rate</t>
  </si>
  <si>
    <t>Cash Flow</t>
  </si>
  <si>
    <t>Property Tax Per Month</t>
  </si>
  <si>
    <t>Home Insurance Cost Per Month</t>
  </si>
  <si>
    <t>Interest Rate</t>
  </si>
  <si>
    <t>PMI Monthly Cost</t>
  </si>
  <si>
    <t>Home Insurance Cost Per Year</t>
  </si>
  <si>
    <t>Vacancy Rate</t>
  </si>
  <si>
    <t>Repair Cost Savings Per Month</t>
  </si>
  <si>
    <t>Vacancy Cost Savings Per Month</t>
  </si>
  <si>
    <t>Repair Cost Savings Rate</t>
  </si>
  <si>
    <t>Cost Per Square Foot</t>
  </si>
  <si>
    <t>Closing Costs Rate</t>
  </si>
  <si>
    <t>Down payment percentage</t>
  </si>
  <si>
    <t>Down payment amount</t>
  </si>
  <si>
    <t>FHA Upfront MIP</t>
  </si>
  <si>
    <t>Annual MIP</t>
  </si>
  <si>
    <t>Loan Type</t>
  </si>
  <si>
    <t>Loan Types</t>
  </si>
  <si>
    <t>Down Payment Percentage</t>
  </si>
  <si>
    <t>PMI Annual Cost</t>
  </si>
  <si>
    <t>Final Loan Amount</t>
  </si>
  <si>
    <t>Loan Length in Years</t>
  </si>
  <si>
    <t>Monthly Mortgage Payment</t>
  </si>
  <si>
    <t>Total PMI Cost Over the Whole Loan</t>
  </si>
  <si>
    <t>Property Tax Rate</t>
  </si>
  <si>
    <t>Mortgage + Taxes + Insurance Monthly</t>
  </si>
  <si>
    <t>Total Monthly Cost</t>
  </si>
  <si>
    <t>Total Upfront Cost</t>
  </si>
  <si>
    <t>Conventional - 5%</t>
  </si>
  <si>
    <t>Conventional - 10%</t>
  </si>
  <si>
    <t>Multi-unit Type</t>
  </si>
  <si>
    <t>Unit 1</t>
  </si>
  <si>
    <t>Unit 2</t>
  </si>
  <si>
    <t>Unit 3</t>
  </si>
  <si>
    <t>Unit 4</t>
  </si>
  <si>
    <t>Living in Unit…</t>
  </si>
  <si>
    <t>Unit Configurations (Bed,Bath,Sqrft)</t>
  </si>
  <si>
    <t>1148 36th St, Des Moines, IA 50311</t>
  </si>
  <si>
    <t>1-bed 1-bath</t>
  </si>
  <si>
    <t>2-bed 1-bath</t>
  </si>
  <si>
    <t>3-bed 1-bath</t>
  </si>
  <si>
    <t>2-bed 2-bath</t>
  </si>
  <si>
    <t>Configuration</t>
  </si>
  <si>
    <t>Estimated Rent</t>
  </si>
  <si>
    <t>Per Month</t>
  </si>
  <si>
    <t>Estimated Total Rent</t>
  </si>
  <si>
    <t>Cashflow Year 1</t>
  </si>
  <si>
    <t>Estimated Total Rent Year 1</t>
  </si>
  <si>
    <t>Cashflow Year 2-N</t>
  </si>
  <si>
    <t>3-bed 3-bath</t>
  </si>
  <si>
    <t>Conservative Claude Report Assumptions</t>
  </si>
  <si>
    <t>518 35th St, Des Moines, IA 50312</t>
  </si>
  <si>
    <t>Studio</t>
  </si>
  <si>
    <t>Financial Metrics</t>
  </si>
  <si>
    <t>Property Appreciation Rate</t>
  </si>
  <si>
    <t>Return on Investment</t>
  </si>
  <si>
    <t>Internal Rate of Return</t>
  </si>
  <si>
    <t>Cash on Cash Return Year 1</t>
  </si>
  <si>
    <t>Cash on Cash Return Year 2</t>
  </si>
  <si>
    <t>Return on Equity Year 1</t>
  </si>
  <si>
    <t>Return on Equity Year 2</t>
  </si>
  <si>
    <t>Gross Rent Multiplier (Year 2)</t>
  </si>
  <si>
    <t>Cashflow Year 1 per month</t>
  </si>
  <si>
    <t>Cashflow Year 2-N per month</t>
  </si>
  <si>
    <t>Annual Cashflow Year 1</t>
  </si>
  <si>
    <t>Annual Cashflow Year 2-N</t>
  </si>
  <si>
    <t>Property ID</t>
  </si>
  <si>
    <t>Cash Needed</t>
  </si>
  <si>
    <t>5% Down</t>
  </si>
  <si>
    <t>10% Down</t>
  </si>
  <si>
    <t>Monthly Cost</t>
  </si>
  <si>
    <t>Cashflow Y1</t>
  </si>
  <si>
    <t>1148 36th St</t>
  </si>
  <si>
    <t>518 35th St</t>
  </si>
  <si>
    <t>Capitalization Rate Year 1</t>
  </si>
  <si>
    <t>Capitalization Rate Year 2</t>
  </si>
  <si>
    <t>Cap Rates Y2</t>
  </si>
  <si>
    <t>Beds</t>
  </si>
  <si>
    <t>Baths</t>
  </si>
  <si>
    <t>Sqr ft</t>
  </si>
  <si>
    <t>Units</t>
  </si>
  <si>
    <t>Cash on Cash Return 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</si>
</sst>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81" formatCode="0.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9"/>
      <name val="Aptos Narrow"/>
      <family val="2"/>
      <scheme val="minor"/>
    </font>
    <font>
      <i/>
      <sz val="12"/>
      <color theme="3" tint="0.749992370372631"/>
      <name val="Aptos Narrow"/>
      <scheme val="minor"/>
    </font>
    <font>
      <sz val="12"/>
      <color theme="3" tint="0.74999237037263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" fillId="0" borderId="0" xfId="0" applyFont="1"/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9" fontId="0" fillId="0" borderId="0" xfId="3" applyFont="1"/>
    <xf numFmtId="10" fontId="0" fillId="0" borderId="0" xfId="3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4" fontId="0" fillId="0" borderId="0" xfId="2" applyFont="1"/>
    <xf numFmtId="44" fontId="5" fillId="0" borderId="0" xfId="2" applyFont="1"/>
    <xf numFmtId="44" fontId="5" fillId="0" borderId="0" xfId="0" applyNumberFormat="1" applyFont="1"/>
    <xf numFmtId="0" fontId="3" fillId="0" borderId="0" xfId="0" applyFont="1" applyAlignment="1">
      <alignment horizontal="left" indent="2"/>
    </xf>
    <xf numFmtId="10" fontId="6" fillId="0" borderId="0" xfId="0" applyNumberFormat="1" applyFont="1"/>
    <xf numFmtId="164" fontId="6" fillId="0" borderId="0" xfId="3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left" indent="3"/>
    </xf>
    <xf numFmtId="0" fontId="0" fillId="0" borderId="0" xfId="1" applyNumberFormat="1" applyFont="1"/>
    <xf numFmtId="44" fontId="6" fillId="0" borderId="0" xfId="2" applyFont="1"/>
    <xf numFmtId="0" fontId="2" fillId="0" borderId="0" xfId="0" applyFont="1" applyAlignment="1">
      <alignment horizontal="left" indent="3"/>
    </xf>
    <xf numFmtId="44" fontId="7" fillId="0" borderId="0" xfId="2" applyFont="1"/>
    <xf numFmtId="44" fontId="8" fillId="0" borderId="0" xfId="2" applyNumberFormat="1" applyFont="1"/>
    <xf numFmtId="8" fontId="5" fillId="0" borderId="0" xfId="0" applyNumberFormat="1" applyFont="1"/>
    <xf numFmtId="0" fontId="1" fillId="0" borderId="0" xfId="0" applyFont="1" applyAlignment="1">
      <alignment horizontal="left" indent="1"/>
    </xf>
    <xf numFmtId="8" fontId="5" fillId="0" borderId="0" xfId="0" applyNumberFormat="1" applyFont="1" applyFill="1"/>
    <xf numFmtId="0" fontId="3" fillId="0" borderId="0" xfId="0" applyFont="1" applyAlignment="1">
      <alignment horizontal="left" wrapText="1" indent="1"/>
    </xf>
    <xf numFmtId="0" fontId="0" fillId="0" borderId="0" xfId="0" applyAlignment="1">
      <alignment horizontal="right" wrapText="1"/>
    </xf>
    <xf numFmtId="0" fontId="10" fillId="0" borderId="0" xfId="0" applyFont="1" applyAlignment="1">
      <alignment horizontal="left" indent="2"/>
    </xf>
    <xf numFmtId="0" fontId="9" fillId="0" borderId="0" xfId="4" applyAlignment="1">
      <alignment wrapText="1"/>
    </xf>
    <xf numFmtId="0" fontId="9" fillId="0" borderId="0" xfId="4" applyAlignment="1">
      <alignment horizontal="center" wrapText="1"/>
    </xf>
    <xf numFmtId="0" fontId="0" fillId="0" borderId="0" xfId="0" applyAlignment="1">
      <alignment horizontal="center"/>
    </xf>
    <xf numFmtId="44" fontId="5" fillId="0" borderId="0" xfId="0" applyNumberFormat="1" applyFont="1" applyFill="1"/>
    <xf numFmtId="8" fontId="5" fillId="0" borderId="0" xfId="2" applyNumberFormat="1" applyFont="1" applyFill="1"/>
    <xf numFmtId="44" fontId="5" fillId="0" borderId="0" xfId="2" applyNumberFormat="1" applyFont="1" applyFill="1"/>
    <xf numFmtId="0" fontId="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1" fillId="2" borderId="0" xfId="0" applyFont="1" applyFill="1" applyAlignment="1">
      <alignment horizontal="left"/>
    </xf>
    <xf numFmtId="0" fontId="0" fillId="0" borderId="0" xfId="2" applyNumberFormat="1" applyFont="1"/>
    <xf numFmtId="181" fontId="0" fillId="0" borderId="0" xfId="0" applyNumberFormat="1" applyAlignment="1">
      <alignment horizontal="right" indent="1"/>
    </xf>
    <xf numFmtId="2" fontId="0" fillId="0" borderId="0" xfId="0" applyNumberFormat="1" applyAlignment="1">
      <alignment horizontal="right" indent="1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zillow.com/homedetails/518-35th-St-Des-Moines-IA-50312/251547772_zpid/" TargetMode="External"/><Relationship Id="rId2" Type="http://schemas.openxmlformats.org/officeDocument/2006/relationships/hyperlink" Target="https://claude.ai/chat/d75f19f3-916e-4bfe-9b50-3db943e0d922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f4098497-da52-41c2-bc67-16f440e35aa0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7275-267E-E641-A05A-83ABAE510915}">
  <dimension ref="A1:G11"/>
  <sheetViews>
    <sheetView zoomScale="174" workbookViewId="0">
      <selection activeCell="G7" sqref="G7"/>
    </sheetView>
  </sheetViews>
  <sheetFormatPr baseColWidth="10" defaultRowHeight="16" x14ac:dyDescent="0.2"/>
  <cols>
    <col min="1" max="1" width="37.83203125" customWidth="1"/>
    <col min="3" max="3" width="12.5" bestFit="1" customWidth="1"/>
    <col min="4" max="4" width="17.6640625" customWidth="1"/>
    <col min="5" max="5" width="24.33203125" customWidth="1"/>
    <col min="7" max="7" width="14.1640625" bestFit="1" customWidth="1"/>
  </cols>
  <sheetData>
    <row r="1" spans="1:7" x14ac:dyDescent="0.2">
      <c r="A1" s="3" t="s">
        <v>12</v>
      </c>
      <c r="B1" s="3" t="s">
        <v>13</v>
      </c>
      <c r="D1" s="3" t="s">
        <v>32</v>
      </c>
      <c r="E1" s="3" t="s">
        <v>33</v>
      </c>
      <c r="G1" s="3"/>
    </row>
    <row r="2" spans="1:7" x14ac:dyDescent="0.2">
      <c r="A2" t="s">
        <v>14</v>
      </c>
      <c r="B2">
        <v>0.02</v>
      </c>
      <c r="D2" t="s">
        <v>43</v>
      </c>
      <c r="E2">
        <v>0.05</v>
      </c>
    </row>
    <row r="3" spans="1:7" x14ac:dyDescent="0.2">
      <c r="A3" t="s">
        <v>21</v>
      </c>
      <c r="B3" s="7">
        <f>1/12</f>
        <v>8.3333333333333329E-2</v>
      </c>
      <c r="D3" t="s">
        <v>44</v>
      </c>
      <c r="E3">
        <v>0.1</v>
      </c>
    </row>
    <row r="4" spans="1:7" x14ac:dyDescent="0.2">
      <c r="A4" t="s">
        <v>24</v>
      </c>
      <c r="B4" s="7">
        <f>0.05</f>
        <v>0.05</v>
      </c>
    </row>
    <row r="5" spans="1:7" x14ac:dyDescent="0.2">
      <c r="A5" t="s">
        <v>26</v>
      </c>
      <c r="B5" s="6">
        <v>0.04</v>
      </c>
    </row>
    <row r="6" spans="1:7" x14ac:dyDescent="0.2">
      <c r="A6" t="s">
        <v>18</v>
      </c>
      <c r="B6" s="7">
        <v>6.2199999999999998E-2</v>
      </c>
    </row>
    <row r="7" spans="1:7" x14ac:dyDescent="0.2">
      <c r="A7" t="s">
        <v>29</v>
      </c>
      <c r="B7" s="7">
        <v>1.7500000000000002E-2</v>
      </c>
    </row>
    <row r="8" spans="1:7" x14ac:dyDescent="0.2">
      <c r="A8" t="s">
        <v>30</v>
      </c>
      <c r="B8" s="7">
        <f>0.0085</f>
        <v>8.5000000000000006E-3</v>
      </c>
    </row>
    <row r="9" spans="1:7" x14ac:dyDescent="0.2">
      <c r="A9" t="s">
        <v>36</v>
      </c>
      <c r="B9" s="18">
        <v>30</v>
      </c>
    </row>
    <row r="10" spans="1:7" x14ac:dyDescent="0.2">
      <c r="A10" t="s">
        <v>39</v>
      </c>
      <c r="B10" s="7">
        <v>7.0000000000000001E-3</v>
      </c>
    </row>
    <row r="11" spans="1:7" x14ac:dyDescent="0.2">
      <c r="A11" t="s">
        <v>69</v>
      </c>
      <c r="B11" s="7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9038-1584-614A-A192-6E2128C52C76}">
  <dimension ref="A1:P4"/>
  <sheetViews>
    <sheetView tabSelected="1" zoomScale="150" workbookViewId="0">
      <selection activeCell="F14" sqref="F14"/>
    </sheetView>
  </sheetViews>
  <sheetFormatPr baseColWidth="10" defaultRowHeight="16" x14ac:dyDescent="0.2"/>
  <cols>
    <col min="1" max="1" width="14" customWidth="1"/>
    <col min="2" max="2" width="5.33203125" bestFit="1" customWidth="1"/>
    <col min="3" max="3" width="6" bestFit="1" customWidth="1"/>
    <col min="4" max="5" width="5.5" bestFit="1" customWidth="1"/>
    <col min="6" max="6" width="13.6640625" customWidth="1"/>
    <col min="7" max="7" width="12.1640625" customWidth="1"/>
    <col min="8" max="8" width="11.5" bestFit="1" customWidth="1"/>
    <col min="9" max="9" width="10.83203125" customWidth="1"/>
    <col min="10" max="10" width="11" bestFit="1" customWidth="1"/>
  </cols>
  <sheetData>
    <row r="1" spans="1:16" s="37" customFormat="1" x14ac:dyDescent="0.2">
      <c r="A1" s="36" t="s">
        <v>81</v>
      </c>
      <c r="B1" s="38"/>
      <c r="C1" s="38"/>
      <c r="D1" s="38"/>
      <c r="E1" s="36" t="s">
        <v>95</v>
      </c>
      <c r="F1" s="36" t="s">
        <v>0</v>
      </c>
      <c r="G1" s="36" t="s">
        <v>82</v>
      </c>
      <c r="H1" s="36"/>
      <c r="I1" s="36" t="s">
        <v>85</v>
      </c>
      <c r="J1" s="36"/>
      <c r="K1" s="36" t="s">
        <v>86</v>
      </c>
      <c r="L1" s="36"/>
      <c r="M1" s="36" t="s">
        <v>91</v>
      </c>
      <c r="N1" s="36"/>
      <c r="O1" s="36" t="s">
        <v>96</v>
      </c>
      <c r="P1" s="36"/>
    </row>
    <row r="2" spans="1:16" s="37" customFormat="1" x14ac:dyDescent="0.2">
      <c r="A2" s="36"/>
      <c r="B2" s="38" t="s">
        <v>92</v>
      </c>
      <c r="C2" s="38" t="s">
        <v>93</v>
      </c>
      <c r="D2" s="38" t="s">
        <v>94</v>
      </c>
      <c r="E2" s="36"/>
      <c r="F2" s="36"/>
      <c r="G2" s="38" t="s">
        <v>83</v>
      </c>
      <c r="H2" s="38" t="s">
        <v>84</v>
      </c>
      <c r="I2" s="38" t="s">
        <v>83</v>
      </c>
      <c r="J2" s="38" t="s">
        <v>84</v>
      </c>
      <c r="K2" s="38" t="s">
        <v>83</v>
      </c>
      <c r="L2" s="38" t="s">
        <v>84</v>
      </c>
      <c r="M2" s="38" t="s">
        <v>83</v>
      </c>
      <c r="N2" s="38" t="s">
        <v>84</v>
      </c>
      <c r="O2" s="38" t="s">
        <v>83</v>
      </c>
      <c r="P2" s="38" t="s">
        <v>84</v>
      </c>
    </row>
    <row r="3" spans="1:16" x14ac:dyDescent="0.2">
      <c r="A3" t="s">
        <v>87</v>
      </c>
      <c r="B3" s="39" cm="1">
        <f t="array" aca="1" ref="B3" ca="1">INDIRECT("'"&amp;$A3&amp;"'!B5",TRUE)</f>
        <v>6</v>
      </c>
      <c r="C3" s="39" cm="1">
        <f t="array" aca="1" ref="C3" ca="1">INDIRECT("'"&amp;$A3&amp;"'!B6",TRUE)</f>
        <v>4</v>
      </c>
      <c r="D3" s="39" cm="1">
        <f t="array" aca="1" ref="D3" ca="1">INDIRECT("'"&amp;$A3&amp;"'!B4",TRUE)</f>
        <v>2509</v>
      </c>
      <c r="E3" s="39" cm="1">
        <f t="array" aca="1" ref="E3" ca="1">INDIRECT("'"&amp;$A3&amp;"'!B2",TRUE)</f>
        <v>4</v>
      </c>
      <c r="F3" s="10" cm="1">
        <f t="array" aca="1" ref="F3" ca="1">INDIRECT("'"&amp;$A3&amp;"'!B3",TRUE)</f>
        <v>355000</v>
      </c>
      <c r="G3" s="10" cm="1">
        <f t="array" aca="1" ref="G3" ca="1">INDIRECT("'"&amp;$A3&amp;"'!B33",TRUE)</f>
        <v>31950</v>
      </c>
      <c r="H3" s="10" cm="1">
        <f t="array" aca="1" ref="H3" ca="1">INDIRECT("'"&amp;$A3&amp;"'!C33",TRUE)</f>
        <v>49700</v>
      </c>
      <c r="I3" s="10" cm="1">
        <f t="array" aca="1" ref="I3" ca="1">INDIRECT("'"&amp;$A3&amp;"'!B32",TRUE)</f>
        <v>3521.9080272559486</v>
      </c>
      <c r="J3" s="10" cm="1">
        <f t="array" aca="1" ref="J3" ca="1">INDIRECT("'"&amp;$A3&amp;"'!C32",TRUE)</f>
        <v>3384.189183716162</v>
      </c>
      <c r="K3" s="10" cm="1">
        <f t="array" aca="1" ref="K3" ca="1">INDIRECT("'"&amp;$A3&amp;"'!B44",TRUE)</f>
        <v>-846.90802725594858</v>
      </c>
      <c r="L3" s="10" cm="1">
        <f t="array" aca="1" ref="L3" ca="1">INDIRECT("'"&amp;$A3&amp;"'!C44",TRUE)</f>
        <v>-709.18918371616201</v>
      </c>
      <c r="M3" s="7" cm="1">
        <f t="array" aca="1" ref="M3" ca="1">INDIRECT("'"&amp;$A3&amp;"'!B51",TRUE)</f>
        <v>-6.1712752833657984E-5</v>
      </c>
      <c r="N3" s="7" cm="1">
        <f t="array" aca="1" ref="N3" ca="1">INDIRECT("'"&amp;$A3&amp;"'!C51",TRUE)</f>
        <v>3.2622765150376902E-4</v>
      </c>
      <c r="O3" s="7" cm="1">
        <f t="array" aca="1" ref="O3" ca="1">INDIRECT("'"&amp;$A3&amp;"'!B52",TRUE)</f>
        <v>-2.6507293497838768E-2</v>
      </c>
      <c r="P3" s="7" cm="1">
        <f t="array" aca="1" ref="P3" ca="1">INDIRECT("'"&amp;$A3&amp;"'!C52",TRUE)</f>
        <v>-1.4269400074771871E-2</v>
      </c>
    </row>
    <row r="4" spans="1:16" x14ac:dyDescent="0.2">
      <c r="A4" t="s">
        <v>88</v>
      </c>
      <c r="B4" s="39" cm="1">
        <f t="array" aca="1" ref="B4" ca="1">INDIRECT("'"&amp;$A4&amp;"'!B5",TRUE)</f>
        <v>5</v>
      </c>
      <c r="C4" s="39" cm="1">
        <f t="array" aca="1" ref="C4" ca="1">INDIRECT("'"&amp;$A4&amp;"'!B6",TRUE)</f>
        <v>4</v>
      </c>
      <c r="D4" s="39" cm="1">
        <f t="array" aca="1" ref="D4" ca="1">INDIRECT("'"&amp;$A4&amp;"'!B4",TRUE)</f>
        <v>2463</v>
      </c>
      <c r="E4" s="39" cm="1">
        <f t="array" aca="1" ref="E4" ca="1">INDIRECT("'"&amp;$A4&amp;"'!B2",TRUE)</f>
        <v>4</v>
      </c>
      <c r="F4" s="10" cm="1">
        <f t="array" aca="1" ref="F4" ca="1">INDIRECT("'"&amp;$A4&amp;"'!B3",TRUE)</f>
        <v>264900</v>
      </c>
      <c r="G4" s="10" cm="1">
        <f t="array" aca="1" ref="G4" ca="1">INDIRECT("'"&amp;$A4&amp;"'!B33",TRUE)</f>
        <v>23841</v>
      </c>
      <c r="H4" s="10" cm="1">
        <f t="array" aca="1" ref="H4" ca="1">INDIRECT("'"&amp;$A4&amp;"'!C33",TRUE)</f>
        <v>37086</v>
      </c>
      <c r="I4" s="10" cm="1">
        <f t="array" aca="1" ref="I4" ca="1">INDIRECT("'"&amp;$A4&amp;"'!B32",TRUE)</f>
        <v>2628.0378490707067</v>
      </c>
      <c r="J4" s="10" cm="1">
        <f t="array" aca="1" ref="J4" ca="1">INDIRECT("'"&amp;$A4&amp;"'!C32",TRUE)</f>
        <v>2525.2724359617218</v>
      </c>
      <c r="K4" s="10" cm="1">
        <f t="array" aca="1" ref="K4" ca="1">INDIRECT("'"&amp;$A4&amp;"'!B44",TRUE)</f>
        <v>511.96215092929333</v>
      </c>
      <c r="L4" s="10" cm="1">
        <f t="array" aca="1" ref="L4" ca="1">INDIRECT("'"&amp;$A4&amp;"'!C44",TRUE)</f>
        <v>614.72756403827816</v>
      </c>
      <c r="M4" s="7" cm="1">
        <f t="array" aca="1" ref="M4" ca="1">INDIRECT("'"&amp;$A4&amp;"'!B51",TRUE)</f>
        <v>5.6714027222165043E-2</v>
      </c>
      <c r="N4" s="7" cm="1">
        <f t="array" aca="1" ref="N4" ca="1">INDIRECT("'"&amp;$A4&amp;"'!C51",TRUE)</f>
        <v>6.1369312074214186E-2</v>
      </c>
      <c r="O4" s="7" cm="1">
        <f t="array" aca="1" ref="O4" ca="1">INDIRECT("'"&amp;$A4&amp;"'!B52",TRUE)</f>
        <v>0.2576882601883948</v>
      </c>
      <c r="P4" s="7" cm="1">
        <f t="array" aca="1" ref="P4" ca="1">INDIRECT("'"&amp;$A4&amp;"'!C52",TRUE)</f>
        <v>0.19890877335003337</v>
      </c>
    </row>
  </sheetData>
  <mergeCells count="8">
    <mergeCell ref="M1:N1"/>
    <mergeCell ref="O1:P1"/>
    <mergeCell ref="G1:H1"/>
    <mergeCell ref="A1:A2"/>
    <mergeCell ref="F1:F2"/>
    <mergeCell ref="I1:J1"/>
    <mergeCell ref="K1:L1"/>
    <mergeCell ref="E1:E2"/>
  </mergeCells>
  <conditionalFormatting sqref="B5:D1048576 F3:F1048576">
    <cfRule type="colorScale" priority="1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G3:G1048576">
    <cfRule type="colorScale" priority="10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H3:H1048576">
    <cfRule type="colorScale" priority="9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I3:I1048576">
    <cfRule type="colorScale" priority="8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J3:J1048576">
    <cfRule type="colorScale" priority="7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K3:K1048576">
    <cfRule type="colorScale" priority="6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L3:L1048576">
    <cfRule type="colorScale" priority="5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M3:M4">
    <cfRule type="colorScale" priority="4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N3:N4">
    <cfRule type="colorScale" priority="3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O3:O4">
    <cfRule type="colorScale" priority="2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P3:P4">
    <cfRule type="colorScale" priority="1">
      <colorScale>
        <cfvo type="min"/>
        <cfvo type="percentile" val="50"/>
        <cfvo type="max"/>
        <color rgb="FFFF0000"/>
        <color rgb="FFFFC000"/>
        <color rgb="FF00B050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55B3-6BD6-CE4E-A559-46E215893205}">
  <dimension ref="A1:F58"/>
  <sheetViews>
    <sheetView topLeftCell="A31" zoomScale="219" workbookViewId="0">
      <selection activeCell="B53" sqref="B53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1</v>
      </c>
      <c r="B1" s="30" t="s">
        <v>66</v>
      </c>
      <c r="C1" s="30"/>
      <c r="E1" s="29" t="s">
        <v>65</v>
      </c>
      <c r="F1" s="3" t="s">
        <v>59</v>
      </c>
    </row>
    <row r="2" spans="1:6" s="9" customFormat="1" ht="19" customHeight="1" x14ac:dyDescent="0.2">
      <c r="A2" s="26" t="s">
        <v>45</v>
      </c>
      <c r="B2" s="27">
        <v>4</v>
      </c>
      <c r="E2" t="s">
        <v>53</v>
      </c>
      <c r="F2" s="10">
        <v>840</v>
      </c>
    </row>
    <row r="3" spans="1:6" x14ac:dyDescent="0.2">
      <c r="A3" s="1" t="s">
        <v>0</v>
      </c>
      <c r="B3" s="10">
        <v>264900</v>
      </c>
      <c r="E3" t="s">
        <v>54</v>
      </c>
      <c r="F3" s="10">
        <v>1150</v>
      </c>
    </row>
    <row r="4" spans="1:6" x14ac:dyDescent="0.2">
      <c r="A4" s="1" t="s">
        <v>6</v>
      </c>
      <c r="B4">
        <v>2463</v>
      </c>
      <c r="E4" t="s">
        <v>55</v>
      </c>
      <c r="F4" s="10">
        <v>0</v>
      </c>
    </row>
    <row r="5" spans="1:6" x14ac:dyDescent="0.2">
      <c r="A5" s="1" t="s">
        <v>7</v>
      </c>
      <c r="B5">
        <v>5</v>
      </c>
      <c r="E5" t="s">
        <v>56</v>
      </c>
      <c r="F5" s="10">
        <v>0</v>
      </c>
    </row>
    <row r="6" spans="1:6" x14ac:dyDescent="0.2">
      <c r="A6" s="1" t="s">
        <v>8</v>
      </c>
      <c r="B6">
        <v>4</v>
      </c>
      <c r="E6" t="s">
        <v>64</v>
      </c>
      <c r="F6" s="10">
        <v>0</v>
      </c>
    </row>
    <row r="7" spans="1:6" x14ac:dyDescent="0.2">
      <c r="A7" s="1" t="s">
        <v>9</v>
      </c>
      <c r="E7" t="s">
        <v>67</v>
      </c>
      <c r="F7" s="10">
        <v>740</v>
      </c>
    </row>
    <row r="8" spans="1:6" x14ac:dyDescent="0.2">
      <c r="A8" s="1" t="s">
        <v>10</v>
      </c>
      <c r="B8">
        <v>1909</v>
      </c>
    </row>
    <row r="9" spans="1:6" x14ac:dyDescent="0.2">
      <c r="A9" s="1" t="s">
        <v>25</v>
      </c>
      <c r="B9" s="22">
        <f>B3/B4</f>
        <v>107.55176613885506</v>
      </c>
    </row>
    <row r="10" spans="1:6" x14ac:dyDescent="0.2">
      <c r="A10" s="1"/>
    </row>
    <row r="12" spans="1:6" x14ac:dyDescent="0.2">
      <c r="A12" s="3" t="s">
        <v>2</v>
      </c>
    </row>
    <row r="13" spans="1:6" x14ac:dyDescent="0.2">
      <c r="A13" s="5" t="s">
        <v>4</v>
      </c>
      <c r="B13" s="12">
        <f>$B$3*Assumptions!$B$5</f>
        <v>10596</v>
      </c>
      <c r="C13" s="12">
        <f>$B$3*Assumptions!$B$5</f>
        <v>10596</v>
      </c>
    </row>
    <row r="14" spans="1:6" x14ac:dyDescent="0.2">
      <c r="A14" s="5" t="s">
        <v>5</v>
      </c>
    </row>
    <row r="15" spans="1:6" x14ac:dyDescent="0.2">
      <c r="A15" s="4" t="s">
        <v>3</v>
      </c>
    </row>
    <row r="16" spans="1:6" x14ac:dyDescent="0.2">
      <c r="A16" s="13" t="s">
        <v>31</v>
      </c>
      <c r="B16" s="16" t="s">
        <v>43</v>
      </c>
      <c r="C16" s="16" t="s">
        <v>44</v>
      </c>
    </row>
    <row r="17" spans="1:3" x14ac:dyDescent="0.2">
      <c r="A17" s="13" t="s">
        <v>27</v>
      </c>
      <c r="B17" s="15">
        <f>IF(B16="Conventional - 5%",0.05,0.1)</f>
        <v>0.05</v>
      </c>
      <c r="C17" s="15">
        <f>IF(C16="Conventional - 5%",0.05,0.1)</f>
        <v>0.1</v>
      </c>
    </row>
    <row r="18" spans="1:3" x14ac:dyDescent="0.2">
      <c r="A18" s="2" t="s">
        <v>28</v>
      </c>
      <c r="B18" s="12">
        <f>$B$3*B17</f>
        <v>13245</v>
      </c>
      <c r="C18" s="12">
        <f>$B$3*C17</f>
        <v>26490</v>
      </c>
    </row>
    <row r="19" spans="1:3" x14ac:dyDescent="0.2">
      <c r="A19" s="2" t="s">
        <v>35</v>
      </c>
      <c r="B19" s="12">
        <f>$B$3-B18</f>
        <v>251655</v>
      </c>
      <c r="C19" s="12">
        <f>$B$3-C18</f>
        <v>238410</v>
      </c>
    </row>
    <row r="20" spans="1:3" x14ac:dyDescent="0.2">
      <c r="A20" s="2" t="s">
        <v>18</v>
      </c>
      <c r="B20" s="14">
        <f>Assumptions!$B$6</f>
        <v>6.2199999999999998E-2</v>
      </c>
      <c r="C20" s="14">
        <f>Assumptions!$B$6</f>
        <v>6.2199999999999998E-2</v>
      </c>
    </row>
    <row r="21" spans="1:3" x14ac:dyDescent="0.2">
      <c r="A21" s="2" t="s">
        <v>37</v>
      </c>
      <c r="B21" s="25">
        <f>PMT(B20/12,Assumptions!$B$9*12, -'518 35th St'!B19)</f>
        <v>1544.5763006506234</v>
      </c>
      <c r="C21" s="25">
        <f>PMT(C20/12,Assumptions!$B$9*12, -'518 35th St'!C19)</f>
        <v>1463.2828111426959</v>
      </c>
    </row>
    <row r="22" spans="1:3" x14ac:dyDescent="0.2">
      <c r="A22" s="2" t="s">
        <v>34</v>
      </c>
      <c r="B22" s="11">
        <f>B19*Assumptions!$B$8</f>
        <v>2139.0675000000001</v>
      </c>
      <c r="C22" s="11">
        <f>C19*Assumptions!$B$8</f>
        <v>2026.4850000000001</v>
      </c>
    </row>
    <row r="23" spans="1:3" x14ac:dyDescent="0.2">
      <c r="A23" s="17" t="s">
        <v>19</v>
      </c>
      <c r="B23" s="11">
        <f>B22/12</f>
        <v>178.25562500000001</v>
      </c>
      <c r="C23" s="11">
        <f>C22/12</f>
        <v>168.87375</v>
      </c>
    </row>
    <row r="24" spans="1:3" x14ac:dyDescent="0.2">
      <c r="A24" s="20" t="s">
        <v>38</v>
      </c>
      <c r="B24" s="21">
        <f>B23*12*Assumptions!$B$9</f>
        <v>64172.025000000001</v>
      </c>
      <c r="C24" s="21">
        <f>C23*12*Assumptions!$B$9</f>
        <v>60794.55</v>
      </c>
    </row>
    <row r="25" spans="1:3" x14ac:dyDescent="0.2">
      <c r="A25" s="1" t="s">
        <v>11</v>
      </c>
      <c r="B25" s="12">
        <f>$B$3*Assumptions!$B$2</f>
        <v>5298</v>
      </c>
      <c r="C25" s="12">
        <f>$B$3*Assumptions!$B$2</f>
        <v>5298</v>
      </c>
    </row>
    <row r="26" spans="1:3" x14ac:dyDescent="0.2">
      <c r="A26" s="2" t="s">
        <v>16</v>
      </c>
      <c r="B26" s="12">
        <f>B25/12</f>
        <v>441.5</v>
      </c>
      <c r="C26" s="12">
        <f>C25/12</f>
        <v>441.5</v>
      </c>
    </row>
    <row r="27" spans="1:3" x14ac:dyDescent="0.2">
      <c r="A27" s="1" t="s">
        <v>20</v>
      </c>
      <c r="B27" s="12">
        <f>$B$3*Assumptions!$B$10</f>
        <v>1854.3</v>
      </c>
      <c r="C27" s="12">
        <f>$B$3*Assumptions!$B$10</f>
        <v>1854.3</v>
      </c>
    </row>
    <row r="28" spans="1:3" x14ac:dyDescent="0.2">
      <c r="A28" s="2" t="s">
        <v>17</v>
      </c>
      <c r="B28" s="12">
        <f>B27/12</f>
        <v>154.52500000000001</v>
      </c>
      <c r="C28" s="12">
        <f>C27/12</f>
        <v>154.52500000000001</v>
      </c>
    </row>
    <row r="29" spans="1:3" x14ac:dyDescent="0.2">
      <c r="A29" s="4" t="s">
        <v>40</v>
      </c>
      <c r="B29" s="25">
        <f>B21+B23+B28+B26</f>
        <v>2318.8569256506235</v>
      </c>
      <c r="C29" s="25">
        <f>C21+C23+C28+C26</f>
        <v>2228.181561142696</v>
      </c>
    </row>
    <row r="30" spans="1:3" x14ac:dyDescent="0.2">
      <c r="A30" s="1" t="s">
        <v>23</v>
      </c>
      <c r="B30" s="23">
        <f>Assumptions!$B$3*'518 35th St'!B29</f>
        <v>193.23807713755195</v>
      </c>
      <c r="C30" s="23">
        <f>Assumptions!$B$3*'518 35th St'!C29</f>
        <v>185.68179676189132</v>
      </c>
    </row>
    <row r="31" spans="1:3" x14ac:dyDescent="0.2">
      <c r="A31" s="1" t="s">
        <v>22</v>
      </c>
      <c r="B31" s="11">
        <f>B29*Assumptions!$B$4</f>
        <v>115.94284628253118</v>
      </c>
      <c r="C31" s="11">
        <f>C29*Assumptions!$B$4</f>
        <v>111.40907805713481</v>
      </c>
    </row>
    <row r="32" spans="1:3" x14ac:dyDescent="0.2">
      <c r="A32" s="24" t="s">
        <v>41</v>
      </c>
      <c r="B32" s="33">
        <f>SUM(B29:B31)</f>
        <v>2628.0378490707067</v>
      </c>
      <c r="C32" s="33">
        <f>SUM(C29:C31)</f>
        <v>2525.2724359617218</v>
      </c>
    </row>
    <row r="33" spans="1:3" x14ac:dyDescent="0.2">
      <c r="A33" s="24" t="s">
        <v>42</v>
      </c>
      <c r="B33" s="34">
        <f>SUM(B13,B18)</f>
        <v>23841</v>
      </c>
      <c r="C33" s="34">
        <f>SUM(C13,C18)</f>
        <v>37086</v>
      </c>
    </row>
    <row r="35" spans="1:3" x14ac:dyDescent="0.2">
      <c r="A35" s="3" t="s">
        <v>15</v>
      </c>
    </row>
    <row r="36" spans="1:3" x14ac:dyDescent="0.2">
      <c r="A36" s="5" t="s">
        <v>51</v>
      </c>
      <c r="B36" t="s">
        <v>57</v>
      </c>
      <c r="C36" t="s">
        <v>58</v>
      </c>
    </row>
    <row r="37" spans="1:3" x14ac:dyDescent="0.2">
      <c r="A37" s="2" t="s">
        <v>46</v>
      </c>
      <c r="B37" t="s">
        <v>67</v>
      </c>
      <c r="C37" s="19">
        <f>VLOOKUP(B37,$E$2:$F$7,2,FALSE)</f>
        <v>740</v>
      </c>
    </row>
    <row r="38" spans="1:3" x14ac:dyDescent="0.2">
      <c r="A38" s="2" t="s">
        <v>47</v>
      </c>
      <c r="B38" t="s">
        <v>53</v>
      </c>
      <c r="C38" s="19">
        <f>VLOOKUP(B38,$E$2:$F$5,2,FALSE)</f>
        <v>840</v>
      </c>
    </row>
    <row r="39" spans="1:3" x14ac:dyDescent="0.2">
      <c r="A39" s="2" t="s">
        <v>48</v>
      </c>
      <c r="B39" t="s">
        <v>54</v>
      </c>
      <c r="C39" s="19">
        <f>VLOOKUP(B39,$E$2:$F$5,2,FALSE)</f>
        <v>1150</v>
      </c>
    </row>
    <row r="40" spans="1:3" x14ac:dyDescent="0.2">
      <c r="A40" s="2" t="s">
        <v>49</v>
      </c>
      <c r="B40" t="s">
        <v>54</v>
      </c>
      <c r="C40" s="19">
        <f>VLOOKUP(B40,$E$2:$F$5,2,FALSE)</f>
        <v>1150</v>
      </c>
    </row>
    <row r="41" spans="1:3" x14ac:dyDescent="0.2">
      <c r="A41" s="1" t="s">
        <v>50</v>
      </c>
      <c r="B41" s="31" t="s">
        <v>46</v>
      </c>
      <c r="C41" s="31"/>
    </row>
    <row r="42" spans="1:3" x14ac:dyDescent="0.2">
      <c r="A42" s="1" t="s">
        <v>60</v>
      </c>
      <c r="C42" s="12">
        <f>SUM(C37:C40)</f>
        <v>3880</v>
      </c>
    </row>
    <row r="43" spans="1:3" x14ac:dyDescent="0.2">
      <c r="A43" s="1" t="s">
        <v>62</v>
      </c>
      <c r="C43" s="12">
        <f>C42-VLOOKUP(B41,A37:C40,3,FALSE)</f>
        <v>3140</v>
      </c>
    </row>
    <row r="44" spans="1:3" x14ac:dyDescent="0.2">
      <c r="A44" s="1" t="s">
        <v>77</v>
      </c>
      <c r="B44" s="32">
        <f>C43-B32</f>
        <v>511.96215092929333</v>
      </c>
      <c r="C44" s="32">
        <f>C43-C32</f>
        <v>614.72756403827816</v>
      </c>
    </row>
    <row r="45" spans="1:3" x14ac:dyDescent="0.2">
      <c r="A45" s="1" t="s">
        <v>78</v>
      </c>
      <c r="B45" s="32">
        <f>C42-B32</f>
        <v>1251.9621509292933</v>
      </c>
      <c r="C45" s="32">
        <f>C42-C32</f>
        <v>1354.7275640382782</v>
      </c>
    </row>
    <row r="46" spans="1:3" x14ac:dyDescent="0.2">
      <c r="A46" s="1" t="s">
        <v>79</v>
      </c>
      <c r="B46" s="32">
        <f>B44*12</f>
        <v>6143.54581115152</v>
      </c>
      <c r="C46" s="32">
        <f>C44*12</f>
        <v>7376.7307684593379</v>
      </c>
    </row>
    <row r="47" spans="1:3" x14ac:dyDescent="0.2">
      <c r="A47" s="1" t="s">
        <v>80</v>
      </c>
      <c r="B47" s="32">
        <f>B45*12</f>
        <v>15023.54581115152</v>
      </c>
      <c r="C47" s="32">
        <f>C45*12</f>
        <v>16256.730768459338</v>
      </c>
    </row>
    <row r="48" spans="1:3" x14ac:dyDescent="0.2">
      <c r="A48" s="28"/>
    </row>
    <row r="49" spans="1:3" x14ac:dyDescent="0.2">
      <c r="A49" s="35" t="s">
        <v>68</v>
      </c>
    </row>
    <row r="50" spans="1:3" x14ac:dyDescent="0.2">
      <c r="A50" s="28" t="s">
        <v>89</v>
      </c>
      <c r="B50" s="7">
        <f>B46/$B$3</f>
        <v>2.3191943416955529E-2</v>
      </c>
      <c r="C50" s="7">
        <f>C46/$B$3</f>
        <v>2.7847228269004674E-2</v>
      </c>
    </row>
    <row r="51" spans="1:3" x14ac:dyDescent="0.2">
      <c r="A51" s="28" t="s">
        <v>90</v>
      </c>
      <c r="B51" s="7">
        <f>B47/$B$3</f>
        <v>5.6714027222165043E-2</v>
      </c>
      <c r="C51" s="7">
        <f>C47/$B$3</f>
        <v>6.1369312074214186E-2</v>
      </c>
    </row>
    <row r="52" spans="1:3" x14ac:dyDescent="0.2">
      <c r="A52" s="28" t="s">
        <v>72</v>
      </c>
      <c r="B52" s="7">
        <f>B46/B$33</f>
        <v>0.2576882601883948</v>
      </c>
      <c r="C52" s="7">
        <f>C46/C33</f>
        <v>0.19890877335003337</v>
      </c>
    </row>
    <row r="53" spans="1:3" x14ac:dyDescent="0.2">
      <c r="A53" s="28" t="s">
        <v>73</v>
      </c>
      <c r="B53" s="7">
        <f>B47/B$33</f>
        <v>0.63015585802405605</v>
      </c>
      <c r="C53" s="7">
        <f>C47/C$33</f>
        <v>0.43835222910152988</v>
      </c>
    </row>
    <row r="54" spans="1:3" x14ac:dyDescent="0.2">
      <c r="A54" s="28" t="s">
        <v>76</v>
      </c>
      <c r="B54" s="41">
        <f>$B$3/C$42</f>
        <v>68.273195876288653</v>
      </c>
      <c r="C54" s="41"/>
    </row>
    <row r="55" spans="1:3" x14ac:dyDescent="0.2">
      <c r="A55" s="28" t="s">
        <v>74</v>
      </c>
    </row>
    <row r="56" spans="1:3" x14ac:dyDescent="0.2">
      <c r="A56" s="28" t="s">
        <v>75</v>
      </c>
    </row>
    <row r="57" spans="1:3" x14ac:dyDescent="0.2">
      <c r="A57" s="28" t="s">
        <v>70</v>
      </c>
    </row>
    <row r="58" spans="1:3" x14ac:dyDescent="0.2">
      <c r="A58" s="28" t="s">
        <v>71</v>
      </c>
    </row>
  </sheetData>
  <mergeCells count="3">
    <mergeCell ref="B1:C1"/>
    <mergeCell ref="B41:C41"/>
    <mergeCell ref="B54:C54"/>
  </mergeCells>
  <conditionalFormatting sqref="B44:C45">
    <cfRule type="cellIs" dxfId="19" priority="1" operator="between">
      <formula>100</formula>
      <formula>-150</formula>
    </cfRule>
    <cfRule type="cellIs" dxfId="18" priority="11" stopIfTrue="1" operator="greaterThan">
      <formula>100</formula>
    </cfRule>
    <cfRule type="cellIs" dxfId="17" priority="12" stopIfTrue="1" operator="lessThan">
      <formula>-150</formula>
    </cfRule>
  </conditionalFormatting>
  <conditionalFormatting sqref="B32:C32">
    <cfRule type="cellIs" dxfId="16" priority="3" operator="between">
      <formula>1800</formula>
      <formula>2200</formula>
    </cfRule>
    <cfRule type="cellIs" dxfId="15" priority="9" stopIfTrue="1" operator="lessThan">
      <formula>1800</formula>
    </cfRule>
    <cfRule type="cellIs" dxfId="14" priority="10" stopIfTrue="1" operator="greaterThan">
      <formula>2200</formula>
    </cfRule>
  </conditionalFormatting>
  <conditionalFormatting sqref="B33:C33">
    <cfRule type="cellIs" dxfId="13" priority="2" operator="between">
      <formula>20000</formula>
      <formula>30000</formula>
    </cfRule>
    <cfRule type="cellIs" dxfId="12" priority="7" stopIfTrue="1" operator="lessThan">
      <formula>20000</formula>
    </cfRule>
    <cfRule type="cellIs" dxfId="11" priority="8" stopIfTrue="1" operator="greaterThan">
      <formula>30000</formula>
    </cfRule>
  </conditionalFormatting>
  <conditionalFormatting sqref="B21:C21">
    <cfRule type="cellIs" dxfId="10" priority="4" operator="between">
      <formula>1300</formula>
      <formula>1500</formula>
    </cfRule>
    <cfRule type="cellIs" dxfId="9" priority="5" operator="lessThan">
      <formula>1200</formula>
    </cfRule>
    <cfRule type="cellIs" dxfId="8" priority="6" operator="greaterThan">
      <formula>1500</formula>
    </cfRule>
  </conditionalFormatting>
  <dataValidations disablePrompts="1" count="2">
    <dataValidation type="list" allowBlank="1" showInputMessage="1" showErrorMessage="1" sqref="B37:B40" xr:uid="{E518D0F0-45C6-F242-A698-4E4B9A728BB7}">
      <formula1>$E$2:$E$7</formula1>
    </dataValidation>
    <dataValidation type="list" allowBlank="1" showInputMessage="1" showErrorMessage="1" sqref="B41" xr:uid="{8DC648BB-93DE-C840-9E44-EAF3C10BDC94}">
      <formula1>$A$37:$A$40</formula1>
    </dataValidation>
  </dataValidations>
  <hyperlinks>
    <hyperlink ref="B1" r:id="rId1" display="1148 36th St, Des Moines, IA 50311" xr:uid="{557992B9-FF9C-B943-A075-ED5B8B84A408}"/>
    <hyperlink ref="E1" r:id="rId2" xr:uid="{FF5057DA-49E9-1F46-A70B-6BC294504B95}"/>
    <hyperlink ref="B1:C1" r:id="rId3" display="1148 36th St, Des Moines, IA 50311" xr:uid="{96F22649-2D7C-FE4F-A9FE-8DC37063EA7F}"/>
  </hyperlinks>
  <pageMargins left="0.7" right="0.7" top="0.75" bottom="0.75" header="0.3" footer="0.3"/>
  <pageSetup orientation="portrait" horizontalDpi="0" verticalDpi="0"/>
  <headerFooter>
    <oddFooter>&amp;R_x000D_&amp;1#&amp;"Aptos"&amp;10&amp;KFF0000 Confidential with Personal Information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65E84C8-F917-6C44-8247-040A051917D6}">
          <x14:formula1>
            <xm:f>Assumptions!$D$2:$D$3</xm:f>
          </x14:formula1>
          <xm:sqref>B16:C16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4FC-8A79-B646-9490-7C5BF2217343}">
  <dimension ref="A1:F58"/>
  <sheetViews>
    <sheetView topLeftCell="A24" zoomScale="125" workbookViewId="0">
      <selection activeCell="E44" sqref="E44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5" max="5" width="23.83203125" customWidth="1"/>
  </cols>
  <sheetData>
    <row r="1" spans="1:6" s="9" customFormat="1" ht="37" customHeight="1" x14ac:dyDescent="0.2">
      <c r="A1" s="8" t="s">
        <v>1</v>
      </c>
      <c r="B1" s="30" t="s">
        <v>52</v>
      </c>
      <c r="C1" s="30"/>
      <c r="E1" s="29" t="s">
        <v>65</v>
      </c>
      <c r="F1" s="3" t="s">
        <v>59</v>
      </c>
    </row>
    <row r="2" spans="1:6" s="9" customFormat="1" ht="19" customHeight="1" x14ac:dyDescent="0.2">
      <c r="A2" s="26" t="s">
        <v>45</v>
      </c>
      <c r="B2" s="9">
        <v>4</v>
      </c>
      <c r="E2" t="s">
        <v>53</v>
      </c>
      <c r="F2" s="10">
        <v>825</v>
      </c>
    </row>
    <row r="3" spans="1:6" x14ac:dyDescent="0.2">
      <c r="A3" s="1" t="s">
        <v>0</v>
      </c>
      <c r="B3" s="10">
        <v>355000</v>
      </c>
      <c r="E3" t="s">
        <v>54</v>
      </c>
      <c r="F3" s="10">
        <v>925</v>
      </c>
    </row>
    <row r="4" spans="1:6" x14ac:dyDescent="0.2">
      <c r="A4" s="1" t="s">
        <v>6</v>
      </c>
      <c r="B4">
        <v>2509</v>
      </c>
      <c r="E4" t="s">
        <v>55</v>
      </c>
      <c r="F4" s="10">
        <v>0</v>
      </c>
    </row>
    <row r="5" spans="1:6" x14ac:dyDescent="0.2">
      <c r="A5" s="1" t="s">
        <v>7</v>
      </c>
      <c r="B5">
        <v>6</v>
      </c>
      <c r="E5" t="s">
        <v>56</v>
      </c>
      <c r="F5" s="10">
        <v>0</v>
      </c>
    </row>
    <row r="6" spans="1:6" x14ac:dyDescent="0.2">
      <c r="A6" s="1" t="s">
        <v>8</v>
      </c>
      <c r="B6">
        <v>4</v>
      </c>
      <c r="E6" t="s">
        <v>64</v>
      </c>
      <c r="F6" s="10">
        <v>0</v>
      </c>
    </row>
    <row r="7" spans="1:6" x14ac:dyDescent="0.2">
      <c r="A7" s="1" t="s">
        <v>9</v>
      </c>
    </row>
    <row r="8" spans="1:6" x14ac:dyDescent="0.2">
      <c r="A8" s="1" t="s">
        <v>10</v>
      </c>
      <c r="B8">
        <v>1907</v>
      </c>
    </row>
    <row r="9" spans="1:6" x14ac:dyDescent="0.2">
      <c r="A9" s="1" t="s">
        <v>25</v>
      </c>
      <c r="B9" s="22">
        <f>B3/B4</f>
        <v>141.490633718613</v>
      </c>
    </row>
    <row r="10" spans="1:6" x14ac:dyDescent="0.2">
      <c r="A10" s="1"/>
    </row>
    <row r="12" spans="1:6" x14ac:dyDescent="0.2">
      <c r="A12" s="3" t="s">
        <v>2</v>
      </c>
    </row>
    <row r="13" spans="1:6" x14ac:dyDescent="0.2">
      <c r="A13" s="5" t="s">
        <v>4</v>
      </c>
      <c r="B13" s="12">
        <f>$B$3*Assumptions!$B$5</f>
        <v>14200</v>
      </c>
      <c r="C13" s="12">
        <f>$B$3*Assumptions!$B$5</f>
        <v>14200</v>
      </c>
    </row>
    <row r="14" spans="1:6" x14ac:dyDescent="0.2">
      <c r="A14" s="5" t="s">
        <v>5</v>
      </c>
    </row>
    <row r="15" spans="1:6" x14ac:dyDescent="0.2">
      <c r="A15" s="4" t="s">
        <v>3</v>
      </c>
    </row>
    <row r="16" spans="1:6" x14ac:dyDescent="0.2">
      <c r="A16" s="13" t="s">
        <v>31</v>
      </c>
      <c r="B16" s="16" t="s">
        <v>43</v>
      </c>
      <c r="C16" s="16" t="s">
        <v>44</v>
      </c>
    </row>
    <row r="17" spans="1:3" x14ac:dyDescent="0.2">
      <c r="A17" s="13" t="s">
        <v>27</v>
      </c>
      <c r="B17" s="15">
        <f>IF(B16="Conventional - 5%",0.05,0.1)</f>
        <v>0.05</v>
      </c>
      <c r="C17" s="15">
        <f>IF(C16="Conventional - 5%",0.05,0.1)</f>
        <v>0.1</v>
      </c>
    </row>
    <row r="18" spans="1:3" x14ac:dyDescent="0.2">
      <c r="A18" s="2" t="s">
        <v>28</v>
      </c>
      <c r="B18" s="12">
        <f>$B$3*B17</f>
        <v>17750</v>
      </c>
      <c r="C18" s="12">
        <f>$B$3*C17</f>
        <v>35500</v>
      </c>
    </row>
    <row r="19" spans="1:3" x14ac:dyDescent="0.2">
      <c r="A19" s="2" t="s">
        <v>35</v>
      </c>
      <c r="B19" s="12">
        <f>$B$3-B18</f>
        <v>337250</v>
      </c>
      <c r="C19" s="12">
        <f>$B$3-C18</f>
        <v>319500</v>
      </c>
    </row>
    <row r="20" spans="1:3" x14ac:dyDescent="0.2">
      <c r="A20" s="2" t="s">
        <v>18</v>
      </c>
      <c r="B20" s="14">
        <f>Assumptions!$B$6</f>
        <v>6.2199999999999998E-2</v>
      </c>
      <c r="C20" s="14">
        <f>Assumptions!$B$6</f>
        <v>6.2199999999999998E-2</v>
      </c>
    </row>
    <row r="21" spans="1:3" x14ac:dyDescent="0.2">
      <c r="A21" s="2" t="s">
        <v>37</v>
      </c>
      <c r="B21" s="25">
        <f>PMT(B20/12,Assumptions!$B$9*12, -'1148 36th St'!B19)</f>
        <v>2069.930489735641</v>
      </c>
      <c r="C21" s="25">
        <f>PMT(C20/12,Assumptions!$B$9*12, -'1148 36th St'!C19)</f>
        <v>1960.9867797495547</v>
      </c>
    </row>
    <row r="22" spans="1:3" x14ac:dyDescent="0.2">
      <c r="A22" s="2" t="s">
        <v>34</v>
      </c>
      <c r="B22" s="11">
        <f>B19*Assumptions!$B$8</f>
        <v>2866.625</v>
      </c>
      <c r="C22" s="11">
        <f>C19*Assumptions!$B$8</f>
        <v>2715.75</v>
      </c>
    </row>
    <row r="23" spans="1:3" x14ac:dyDescent="0.2">
      <c r="A23" s="17" t="s">
        <v>19</v>
      </c>
      <c r="B23" s="11">
        <f>B22/12</f>
        <v>238.88541666666666</v>
      </c>
      <c r="C23" s="11">
        <f>C22/12</f>
        <v>226.3125</v>
      </c>
    </row>
    <row r="24" spans="1:3" x14ac:dyDescent="0.2">
      <c r="A24" s="20" t="s">
        <v>38</v>
      </c>
      <c r="B24" s="21">
        <f>B23*12*Assumptions!$B$9</f>
        <v>85998.75</v>
      </c>
      <c r="C24" s="21">
        <f>C23*12*Assumptions!$B$9</f>
        <v>81472.5</v>
      </c>
    </row>
    <row r="25" spans="1:3" x14ac:dyDescent="0.2">
      <c r="A25" s="1" t="s">
        <v>11</v>
      </c>
      <c r="B25" s="12">
        <f>$B$3*Assumptions!$B$2</f>
        <v>7100</v>
      </c>
      <c r="C25" s="12">
        <f>$B$3*Assumptions!$B$2</f>
        <v>7100</v>
      </c>
    </row>
    <row r="26" spans="1:3" x14ac:dyDescent="0.2">
      <c r="A26" s="2" t="s">
        <v>16</v>
      </c>
      <c r="B26" s="12">
        <f>B25/12</f>
        <v>591.66666666666663</v>
      </c>
      <c r="C26" s="12">
        <f>C25/12</f>
        <v>591.66666666666663</v>
      </c>
    </row>
    <row r="27" spans="1:3" x14ac:dyDescent="0.2">
      <c r="A27" s="1" t="s">
        <v>20</v>
      </c>
      <c r="B27" s="12">
        <f>$B$3*Assumptions!$B$10</f>
        <v>2485</v>
      </c>
      <c r="C27" s="12">
        <f>$B$3*Assumptions!$B$10</f>
        <v>2485</v>
      </c>
    </row>
    <row r="28" spans="1:3" x14ac:dyDescent="0.2">
      <c r="A28" s="2" t="s">
        <v>17</v>
      </c>
      <c r="B28" s="12">
        <f>B27/12</f>
        <v>207.08333333333334</v>
      </c>
      <c r="C28" s="12">
        <f>C27/12</f>
        <v>207.08333333333334</v>
      </c>
    </row>
    <row r="29" spans="1:3" x14ac:dyDescent="0.2">
      <c r="A29" s="4" t="s">
        <v>40</v>
      </c>
      <c r="B29" s="25">
        <f>B21+B23+B28+B26</f>
        <v>3107.5659064023075</v>
      </c>
      <c r="C29" s="25">
        <f>C21+C23+C28+C26</f>
        <v>2986.0492797495544</v>
      </c>
    </row>
    <row r="30" spans="1:3" x14ac:dyDescent="0.2">
      <c r="A30" s="1" t="s">
        <v>23</v>
      </c>
      <c r="B30" s="23">
        <f>Assumptions!$B$3*'1148 36th St'!B29</f>
        <v>258.96382553352561</v>
      </c>
      <c r="C30" s="23">
        <f>Assumptions!$B$3*'1148 36th St'!C29</f>
        <v>248.83743997912953</v>
      </c>
    </row>
    <row r="31" spans="1:3" x14ac:dyDescent="0.2">
      <c r="A31" s="1" t="s">
        <v>22</v>
      </c>
      <c r="B31" s="11">
        <f>B29*Assumptions!$B$4</f>
        <v>155.3782953201154</v>
      </c>
      <c r="C31" s="11">
        <f>C29*Assumptions!$B$4</f>
        <v>149.30246398747772</v>
      </c>
    </row>
    <row r="32" spans="1:3" x14ac:dyDescent="0.2">
      <c r="A32" s="24" t="s">
        <v>41</v>
      </c>
      <c r="B32" s="33">
        <f>SUM(B29:B31)</f>
        <v>3521.9080272559486</v>
      </c>
      <c r="C32" s="33">
        <f>SUM(C29:C31)</f>
        <v>3384.189183716162</v>
      </c>
    </row>
    <row r="33" spans="1:3" x14ac:dyDescent="0.2">
      <c r="A33" s="24" t="s">
        <v>42</v>
      </c>
      <c r="B33" s="34">
        <f>SUM(B13,B18)</f>
        <v>31950</v>
      </c>
      <c r="C33" s="34">
        <f>SUM(C13,C18)</f>
        <v>49700</v>
      </c>
    </row>
    <row r="35" spans="1:3" x14ac:dyDescent="0.2">
      <c r="A35" s="3" t="s">
        <v>15</v>
      </c>
    </row>
    <row r="36" spans="1:3" x14ac:dyDescent="0.2">
      <c r="A36" s="5" t="s">
        <v>51</v>
      </c>
      <c r="B36" t="s">
        <v>57</v>
      </c>
      <c r="C36" t="s">
        <v>58</v>
      </c>
    </row>
    <row r="37" spans="1:3" x14ac:dyDescent="0.2">
      <c r="A37" s="2" t="s">
        <v>46</v>
      </c>
      <c r="B37" t="s">
        <v>53</v>
      </c>
      <c r="C37" s="19">
        <f>VLOOKUP(B37,$E$2:$F$5,2,FALSE)</f>
        <v>825</v>
      </c>
    </row>
    <row r="38" spans="1:3" x14ac:dyDescent="0.2">
      <c r="A38" s="2" t="s">
        <v>47</v>
      </c>
      <c r="B38" t="s">
        <v>53</v>
      </c>
      <c r="C38" s="19">
        <f>VLOOKUP(B38,$E$2:$F$5,2,FALSE)</f>
        <v>825</v>
      </c>
    </row>
    <row r="39" spans="1:3" x14ac:dyDescent="0.2">
      <c r="A39" s="2" t="s">
        <v>48</v>
      </c>
      <c r="B39" t="s">
        <v>54</v>
      </c>
      <c r="C39" s="19">
        <f>VLOOKUP(B39,$E$2:$F$5,2,FALSE)</f>
        <v>925</v>
      </c>
    </row>
    <row r="40" spans="1:3" x14ac:dyDescent="0.2">
      <c r="A40" s="2" t="s">
        <v>49</v>
      </c>
      <c r="B40" t="s">
        <v>54</v>
      </c>
      <c r="C40" s="19">
        <f>VLOOKUP(B40,$E$2:$F$5,2,FALSE)</f>
        <v>925</v>
      </c>
    </row>
    <row r="41" spans="1:3" x14ac:dyDescent="0.2">
      <c r="A41" s="1" t="s">
        <v>50</v>
      </c>
      <c r="B41" s="31" t="s">
        <v>46</v>
      </c>
      <c r="C41" s="31"/>
    </row>
    <row r="42" spans="1:3" x14ac:dyDescent="0.2">
      <c r="A42" s="1" t="s">
        <v>60</v>
      </c>
      <c r="C42" s="12">
        <f>SUM(C37:C40)</f>
        <v>3500</v>
      </c>
    </row>
    <row r="43" spans="1:3" x14ac:dyDescent="0.2">
      <c r="A43" s="1" t="s">
        <v>62</v>
      </c>
      <c r="C43" s="12">
        <f>C42-VLOOKUP(B41,A37:C40,3,FALSE)</f>
        <v>2675</v>
      </c>
    </row>
    <row r="44" spans="1:3" x14ac:dyDescent="0.2">
      <c r="A44" s="1" t="s">
        <v>61</v>
      </c>
      <c r="B44" s="32">
        <f>C43-B32</f>
        <v>-846.90802725594858</v>
      </c>
      <c r="C44" s="32">
        <f>C43-C32</f>
        <v>-709.18918371616201</v>
      </c>
    </row>
    <row r="45" spans="1:3" x14ac:dyDescent="0.2">
      <c r="A45" s="1" t="s">
        <v>63</v>
      </c>
      <c r="B45" s="32">
        <f>C42-B32</f>
        <v>-21.908027255948582</v>
      </c>
      <c r="C45" s="32">
        <f>C42-C32</f>
        <v>115.81081628383799</v>
      </c>
    </row>
    <row r="46" spans="1:3" x14ac:dyDescent="0.2">
      <c r="A46" s="1" t="s">
        <v>79</v>
      </c>
      <c r="B46" s="32">
        <f>B44*12</f>
        <v>-10162.896327071383</v>
      </c>
      <c r="C46" s="32">
        <f>C44*12</f>
        <v>-8510.2702045939441</v>
      </c>
    </row>
    <row r="47" spans="1:3" x14ac:dyDescent="0.2">
      <c r="A47" s="1" t="s">
        <v>80</v>
      </c>
      <c r="B47" s="32">
        <f>B45*12</f>
        <v>-262.89632707138298</v>
      </c>
      <c r="C47" s="32">
        <f>C45*12</f>
        <v>1389.7297954060559</v>
      </c>
    </row>
    <row r="48" spans="1:3" x14ac:dyDescent="0.2">
      <c r="A48" s="28"/>
    </row>
    <row r="49" spans="1:3" x14ac:dyDescent="0.2">
      <c r="A49" s="35" t="s">
        <v>68</v>
      </c>
    </row>
    <row r="50" spans="1:3" x14ac:dyDescent="0.2">
      <c r="A50" s="28" t="s">
        <v>89</v>
      </c>
      <c r="B50" s="7">
        <f>B44/$B$3</f>
        <v>-2.3856564148054889E-3</v>
      </c>
      <c r="C50" s="7">
        <f>C44/$B$3</f>
        <v>-1.9977160104680618E-3</v>
      </c>
    </row>
    <row r="51" spans="1:3" x14ac:dyDescent="0.2">
      <c r="A51" s="28" t="s">
        <v>90</v>
      </c>
      <c r="B51" s="7">
        <f>B45/$B$3</f>
        <v>-6.1712752833657984E-5</v>
      </c>
      <c r="C51" s="7">
        <f>C45/$B$3</f>
        <v>3.2622765150376902E-4</v>
      </c>
    </row>
    <row r="52" spans="1:3" x14ac:dyDescent="0.2">
      <c r="A52" s="28" t="s">
        <v>72</v>
      </c>
      <c r="B52" s="7">
        <f>B44/B$33</f>
        <v>-2.6507293497838768E-2</v>
      </c>
      <c r="C52" s="7">
        <f>C44/C$33</f>
        <v>-1.4269400074771871E-2</v>
      </c>
    </row>
    <row r="53" spans="1:3" x14ac:dyDescent="0.2">
      <c r="A53" s="28" t="s">
        <v>73</v>
      </c>
      <c r="B53" s="7">
        <f>B45/B$33</f>
        <v>-6.8569725370731089E-4</v>
      </c>
      <c r="C53" s="7">
        <f>C45/C$33</f>
        <v>2.3301975107412071E-3</v>
      </c>
    </row>
    <row r="54" spans="1:3" x14ac:dyDescent="0.2">
      <c r="A54" s="28" t="s">
        <v>76</v>
      </c>
      <c r="B54" s="40">
        <f>$B$3/C$42</f>
        <v>101.42857142857143</v>
      </c>
      <c r="C54" s="40"/>
    </row>
    <row r="55" spans="1:3" x14ac:dyDescent="0.2">
      <c r="A55" s="28" t="s">
        <v>74</v>
      </c>
    </row>
    <row r="56" spans="1:3" x14ac:dyDescent="0.2">
      <c r="A56" s="28" t="s">
        <v>75</v>
      </c>
    </row>
    <row r="57" spans="1:3" x14ac:dyDescent="0.2">
      <c r="A57" s="28" t="s">
        <v>70</v>
      </c>
    </row>
    <row r="58" spans="1:3" x14ac:dyDescent="0.2">
      <c r="A58" s="28" t="s">
        <v>71</v>
      </c>
    </row>
  </sheetData>
  <mergeCells count="3">
    <mergeCell ref="B1:C1"/>
    <mergeCell ref="B41:C41"/>
    <mergeCell ref="B54:C54"/>
  </mergeCells>
  <conditionalFormatting sqref="B44:C45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B32:C32">
    <cfRule type="cellIs" dxfId="5" priority="5" operator="lessThan">
      <formula>1500</formula>
    </cfRule>
    <cfRule type="cellIs" dxfId="4" priority="6" operator="greaterThan">
      <formula>1500</formula>
    </cfRule>
  </conditionalFormatting>
  <conditionalFormatting sqref="B33:C33">
    <cfRule type="cellIs" dxfId="3" priority="3" operator="lessThan">
      <formula>25000</formula>
    </cfRule>
    <cfRule type="cellIs" dxfId="2" priority="4" operator="greaterThan">
      <formula>25000</formula>
    </cfRule>
  </conditionalFormatting>
  <conditionalFormatting sqref="B21:C21">
    <cfRule type="cellIs" dxfId="1" priority="1" operator="lessThan">
      <formula>1200</formula>
    </cfRule>
    <cfRule type="cellIs" dxfId="0" priority="2" operator="greaterThan">
      <formula>1200</formula>
    </cfRule>
  </conditionalFormatting>
  <dataValidations count="2">
    <dataValidation type="list" allowBlank="1" showInputMessage="1" showErrorMessage="1" sqref="B41" xr:uid="{807D11E1-A2D4-E645-8C28-48710DE572C2}">
      <formula1>$A$37:$A$40</formula1>
    </dataValidation>
    <dataValidation type="list" allowBlank="1" showInputMessage="1" showErrorMessage="1" sqref="B37:B40" xr:uid="{DA2C9D1F-3E96-1543-8104-633C830365BE}">
      <formula1>$E$2:$E$6</formula1>
    </dataValidation>
  </dataValidations>
  <hyperlinks>
    <hyperlink ref="B1" r:id="rId1" xr:uid="{D9EA1F94-1A8F-C548-8DE1-DDEE31F50EFD}"/>
    <hyperlink ref="E1" r:id="rId2" display="Claude Report Assumptions" xr:uid="{5CE17D12-A4CF-CF45-98C0-87FE57BCAF74}"/>
  </hyperlinks>
  <pageMargins left="0.7" right="0.7" top="0.75" bottom="0.75" header="0.3" footer="0.3"/>
  <pageSetup orientation="portrait" horizontalDpi="0" verticalDpi="0"/>
  <headerFooter>
    <oddFooter>&amp;R_x000D_&amp;1#&amp;"Aptos"&amp;10&amp;KFF0000 Confidential with Personal Information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3A55C3-39AC-2B49-A5D8-4A0CABDA6DE4}">
          <x14:formula1>
            <xm:f>Assumptions!$D$2:$D$3</xm:f>
          </x14:formula1>
          <xm:sqref>B16:C16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83bd1b4c-12e3-48ac-b6a4-a704fd36c130}" enabled="1" method="Privileged" siteId="{39b03722-b836-496a-85ec-850f0957ca6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Master</vt:lpstr>
      <vt:lpstr>518 35th St</vt:lpstr>
      <vt:lpstr>1148 36th 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Armaan Gupta</dc:creator>
  <cp:lastModifiedBy>Armaan Gupta</cp:lastModifiedBy>
  <dcterms:created xsi:type="dcterms:W3CDTF">2025-10-24T18:13:33Z</dcterms:created>
  <dcterms:modified xsi:type="dcterms:W3CDTF">2025-10-27T05:30:31Z</dcterms:modified>
</cp:coreProperties>
</file>