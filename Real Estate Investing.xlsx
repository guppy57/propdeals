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40" yWindow="760" windowWidth="14980" windowHeight="18740" tabRatio="600" firstSheet="8" activeTab="11" autoFilterDateGrouping="1"/>
  </bookViews>
  <sheets>
    <sheet name="Assumptions" sheetId="1" state="visible" r:id="rId1"/>
    <sheet name="Master" sheetId="2" state="visible" r:id="rId2"/>
    <sheet name="1514 Harrison Ave" sheetId="3" state="visible" r:id="rId3"/>
    <sheet name="1175 21st St" sheetId="4" state="visible" r:id="rId4"/>
    <sheet name="1429 Martin Luther King Jr Pkwy" sheetId="5" state="visible" r:id="rId5"/>
    <sheet name="1206 39th St" sheetId="6" state="visible" r:id="rId6"/>
    <sheet name="401 Franklin Ave" sheetId="7" state="visible" r:id="rId7"/>
    <sheet name="1608 Mondamin Ave" sheetId="8" state="visible" r:id="rId8"/>
    <sheet name="1064 27th St" sheetId="9" state="visible" r:id="rId9"/>
    <sheet name="518 35th St" sheetId="10" state="visible" r:id="rId10"/>
    <sheet name="1148 36th St" sheetId="11" state="visible" r:id="rId11"/>
    <sheet name="template" sheetId="12" state="visible" r:id="rId12"/>
    <sheet name="3900 11th St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0.0%"/>
    <numFmt numFmtId="166" formatCode="&quot;$&quot;#,##0.00_);[Red]\(&quot;$&quot;#,##0.00\)"/>
    <numFmt numFmtId="167" formatCode="0.000%"/>
    <numFmt numFmtId="168" formatCode="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0070C0"/>
      <sz val="12"/>
      <scheme val="minor"/>
    </font>
    <font>
      <name val="Aptos Narrow"/>
      <family val="2"/>
      <color theme="9"/>
      <sz val="12"/>
      <scheme val="minor"/>
    </font>
    <font>
      <name val="Aptos Narrow"/>
      <i val="1"/>
      <color theme="3" tint="0.749992370372631"/>
      <sz val="12"/>
      <scheme val="minor"/>
    </font>
    <font>
      <name val="Aptos Narrow"/>
      <family val="2"/>
      <color theme="3" tint="0.74999237037263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000000"/>
      <sz val="12"/>
      <scheme val="minor"/>
    </font>
    <font>
      <name val="Aptos Narrow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5">
    <xf numFmtId="0" fontId="4" fillId="0" borderId="0"/>
    <xf numFmtId="43" fontId="4" fillId="0" borderId="0"/>
    <xf numFmtId="44" fontId="4" fillId="0" borderId="0"/>
    <xf numFmtId="9" fontId="4" fillId="0" borderId="0"/>
    <xf numFmtId="0" fontId="9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1" fillId="0" borderId="0" pivotButton="0" quotePrefix="0" xfId="0"/>
    <xf numFmtId="0" fontId="2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indent="1"/>
    </xf>
    <xf numFmtId="9" fontId="0" fillId="0" borderId="0" pivotButton="0" quotePrefix="0" xfId="3"/>
    <xf numFmtId="10" fontId="0" fillId="0" borderId="0" pivotButton="0" quotePrefix="0" xfId="3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5" fillId="0" borderId="0" pivotButton="0" quotePrefix="0" xfId="2"/>
    <xf numFmtId="164" fontId="5" fillId="0" borderId="0" pivotButton="0" quotePrefix="0" xfId="0"/>
    <xf numFmtId="0" fontId="3" fillId="0" borderId="0" applyAlignment="1" pivotButton="0" quotePrefix="0" xfId="0">
      <alignment horizontal="left" indent="2"/>
    </xf>
    <xf numFmtId="10" fontId="6" fillId="0" borderId="0" pivotButton="0" quotePrefix="0" xfId="0"/>
    <xf numFmtId="165" fontId="6" fillId="0" borderId="0" pivotButton="0" quotePrefix="0" xfId="3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indent="3"/>
    </xf>
    <xf numFmtId="0" fontId="0" fillId="0" borderId="0" pivotButton="0" quotePrefix="0" xfId="1"/>
    <xf numFmtId="164" fontId="6" fillId="0" borderId="0" pivotButton="0" quotePrefix="0" xfId="2"/>
    <xf numFmtId="0" fontId="2" fillId="0" borderId="0" applyAlignment="1" pivotButton="0" quotePrefix="0" xfId="0">
      <alignment horizontal="left" indent="3"/>
    </xf>
    <xf numFmtId="164" fontId="7" fillId="0" borderId="0" pivotButton="0" quotePrefix="0" xfId="2"/>
    <xf numFmtId="164" fontId="8" fillId="0" borderId="0" pivotButton="0" quotePrefix="0" xfId="2"/>
    <xf numFmtId="166" fontId="5" fillId="0" borderId="0" pivotButton="0" quotePrefix="0" xfId="0"/>
    <xf numFmtId="0" fontId="1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wrapText="1" indent="1"/>
    </xf>
    <xf numFmtId="0" fontId="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left" indent="2"/>
    </xf>
    <xf numFmtId="0" fontId="9" fillId="0" borderId="0" applyAlignment="1" pivotButton="0" quotePrefix="0" xfId="4">
      <alignment wrapText="1"/>
    </xf>
    <xf numFmtId="166" fontId="5" fillId="0" borderId="0" pivotButton="0" quotePrefix="0" xfId="2"/>
    <xf numFmtId="0" fontId="1" fillId="0" borderId="0" applyAlignment="1" pivotButton="0" quotePrefix="0" xfId="0">
      <alignment horizontal="left"/>
    </xf>
    <xf numFmtId="0" fontId="1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2"/>
    <xf numFmtId="167" fontId="0" fillId="0" borderId="0" pivotButton="0" quotePrefix="0" xfId="3"/>
    <xf numFmtId="10" fontId="5" fillId="0" borderId="0" pivotButton="0" quotePrefix="0" xfId="3"/>
    <xf numFmtId="164" fontId="1" fillId="0" borderId="0" pivotButton="0" quotePrefix="0" xfId="2"/>
    <xf numFmtId="10" fontId="1" fillId="0" borderId="0" pivotButton="0" quotePrefix="0" xfId="3"/>
    <xf numFmtId="2" fontId="5" fillId="0" borderId="0" applyAlignment="1" pivotButton="0" quotePrefix="0" xfId="0">
      <alignment horizontal="right" indent="1"/>
    </xf>
    <xf numFmtId="0" fontId="0" fillId="0" borderId="0" pivotButton="0" quotePrefix="0" xfId="0"/>
    <xf numFmtId="0" fontId="9" fillId="0" borderId="0" applyAlignment="1" pivotButton="0" quotePrefix="0" xfId="4">
      <alignment horizont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right" indent="1"/>
    </xf>
    <xf numFmtId="167" fontId="0" fillId="0" borderId="0" pivotButton="0" quotePrefix="0" xfId="3"/>
    <xf numFmtId="164" fontId="1" fillId="0" borderId="0" pivotButton="0" quotePrefix="0" xfId="2"/>
    <xf numFmtId="164" fontId="0" fillId="0" borderId="0" pivotButton="0" quotePrefix="0" xfId="2"/>
    <xf numFmtId="164" fontId="8" fillId="0" borderId="0" pivotButton="0" quotePrefix="0" xfId="2"/>
    <xf numFmtId="164" fontId="5" fillId="0" borderId="0" pivotButton="0" quotePrefix="0" xfId="0"/>
    <xf numFmtId="165" fontId="6" fillId="0" borderId="0" pivotButton="0" quotePrefix="0" xfId="3"/>
    <xf numFmtId="166" fontId="5" fillId="0" borderId="0" pivotButton="0" quotePrefix="0" xfId="0"/>
    <xf numFmtId="164" fontId="5" fillId="0" borderId="0" pivotButton="0" quotePrefix="0" xfId="2"/>
    <xf numFmtId="164" fontId="7" fillId="0" borderId="0" pivotButton="0" quotePrefix="0" xfId="2"/>
    <xf numFmtId="166" fontId="5" fillId="0" borderId="0" pivotButton="0" quotePrefix="0" xfId="2"/>
    <xf numFmtId="164" fontId="6" fillId="0" borderId="0" pivotButton="0" quotePrefix="0" xfId="2"/>
    <xf numFmtId="168" fontId="0" fillId="0" borderId="0" applyAlignment="1" pivotButton="0" quotePrefix="0" xfId="0">
      <alignment horizontal="right" indent="1"/>
    </xf>
  </cellXfs>
  <cellStyles count="5">
    <cellStyle name="Normal" xfId="0" builtinId="0"/>
    <cellStyle name="Comma" xfId="1" builtinId="3"/>
    <cellStyle name="Currency" xfId="2" builtinId="4"/>
    <cellStyle name="Percent" xfId="3" builtinId="5"/>
    <cellStyle name="Hyperlink" xfId="4" builtinId="8"/>
  </cellStyles>
  <dxfs count="1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4" formatCode="0.00%"/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4" formatCode="0.00%"/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4" formatCode="0.00%"/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14" formatCode="0.00%"/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  <dxf>
      <font>
        <name val="Aptos Narrow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theme="1"/>
        </patternFill>
      </fill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able2" displayName="Table2" ref="A1:R10" headerRowCount="1" totalsRowShown="0" headerRowDxfId="137" dataDxfId="136" dataCellStyle="Percent">
  <autoFilter ref="A1:R10"/>
  <sortState ref="A2:R10">
    <sortCondition descending="1" ref="K1:K10"/>
  </sortState>
  <tableColumns count="18">
    <tableColumn id="1" name="Property ID"/>
    <tableColumn id="2" name="Beds" dataDxfId="135" dataCellStyle="Currency">
      <calculatedColumnFormula array="1">INDIRECT("'"&amp;$A2&amp;"'!B5",TRUE)</calculatedColumnFormula>
    </tableColumn>
    <tableColumn id="3" name="Baths" dataDxfId="134" dataCellStyle="Currency">
      <calculatedColumnFormula array="1">INDIRECT("'"&amp;$A2&amp;"'!B6",TRUE)</calculatedColumnFormula>
    </tableColumn>
    <tableColumn id="4" name="Sqr ft" dataDxfId="133" dataCellStyle="Currency">
      <calculatedColumnFormula array="1">INDIRECT("'"&amp;$A2&amp;"'!B4",TRUE)</calculatedColumnFormula>
    </tableColumn>
    <tableColumn id="5" name="Units" dataDxfId="132" dataCellStyle="Currency">
      <calculatedColumnFormula array="1">INDIRECT("'"&amp;$A2&amp;"'!B2",TRUE)</calculatedColumnFormula>
    </tableColumn>
    <tableColumn id="6" name="Purchase Price" dataDxfId="131" dataCellStyle="Currency">
      <calculatedColumnFormula array="1">INDIRECT("'"&amp;$A2&amp;"'!B3",TRUE)</calculatedColumnFormula>
    </tableColumn>
    <tableColumn id="7" name="Cash Needed FHA" dataDxfId="130" dataCellStyle="Currency">
      <calculatedColumnFormula array="1">INDIRECT("'"&amp;$A2&amp;"'!B35",TRUE)</calculatedColumnFormula>
    </tableColumn>
    <tableColumn id="8" name="Cash Needed 5% Down" dataDxfId="129" dataCellStyle="Currency">
      <calculatedColumnFormula array="1">INDIRECT("'"&amp;$A2&amp;"'!C35",TRUE)</calculatedColumnFormula>
    </tableColumn>
    <tableColumn id="9" name="Monthly Cost FHA" dataDxfId="128" dataCellStyle="Currency">
      <calculatedColumnFormula array="1">INDIRECT("'"&amp;$A2&amp;"'!B34",TRUE)</calculatedColumnFormula>
    </tableColumn>
    <tableColumn id="10" name="Monthly Cost 5% Down" dataDxfId="127" dataCellStyle="Currency">
      <calculatedColumnFormula array="1">INDIRECT("'"&amp;$A2&amp;"'!C34",TRUE)</calculatedColumnFormula>
    </tableColumn>
    <tableColumn id="11" name="Cashflow Y1 FHA" dataDxfId="126" dataCellStyle="Currency">
      <calculatedColumnFormula array="1">INDIRECT("'"&amp;$A2&amp;"'!B46",TRUE)</calculatedColumnFormula>
    </tableColumn>
    <tableColumn id="12" name="Cashflow Y1 5% Down" dataDxfId="125" dataCellStyle="Currency">
      <calculatedColumnFormula array="1">INDIRECT("'"&amp;$A2&amp;"'!C46",TRUE)</calculatedColumnFormula>
    </tableColumn>
    <tableColumn id="13" name="Cashflow Y2 FHA" dataDxfId="124" dataCellStyle="Currency">
      <calculatedColumnFormula array="1">INDIRECT("'"&amp;$A2&amp;"'!B47",TRUE)</calculatedColumnFormula>
    </tableColumn>
    <tableColumn id="14" name="Cashflow Y2 5% Down" dataDxfId="123" dataCellStyle="Currency">
      <calculatedColumnFormula array="1">INDIRECT("'"&amp;$A2&amp;"'!C47",TRUE)</calculatedColumnFormula>
    </tableColumn>
    <tableColumn id="15" name="Cap rate Y2 FHA" dataDxfId="122" dataCellStyle="Percent">
      <calculatedColumnFormula array="1">INDIRECT("'"&amp;$A2&amp;"'!B53",TRUE)</calculatedColumnFormula>
    </tableColumn>
    <tableColumn id="16" name="Cap rate Y2 5% Down" dataDxfId="121" dataCellStyle="Percent">
      <calculatedColumnFormula array="1">INDIRECT("'"&amp;$A2&amp;"'!C53",TRUE)</calculatedColumnFormula>
    </tableColumn>
    <tableColumn id="17" name="CoC Y1 FHA" dataDxfId="120" dataCellStyle="Percent">
      <calculatedColumnFormula array="1">INDIRECT("'"&amp;$A2&amp;"'!B54",TRUE)</calculatedColumnFormula>
    </tableColumn>
    <tableColumn id="18" name="CoC Y1 5% Down" dataDxfId="119" dataCellStyle="Percent">
      <calculatedColumnFormula array="1">INDIRECT("'"&amp;$A2&amp;"'!C54",TRUE)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zillow.com/homedetails/1514-Harrison-Ave-Des-Moines-IA-50314/251547601_zpid/" TargetMode="External" Id="rId1" /><Relationship Type="http://schemas.openxmlformats.org/officeDocument/2006/relationships/hyperlink" Target="https://claude.ai/chat/04a8a465-e970-4ea8-8080-3925860a4706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zillow.com/homedetails/1175-21st-St-Des-Moines-IA-50311/772225_zpid/" TargetMode="External" Id="rId1" /><Relationship Type="http://schemas.openxmlformats.org/officeDocument/2006/relationships/hyperlink" Target="https://claude.ai/chat/dc87eac4-9540-4103-ad0a-17b785a393c6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zillow.com/homedetails/1429-Martin-Luther-King-Jr-Pkwy-Des-Moines-IA-50314/791000_zpid/" TargetMode="External" Id="rId1" /><Relationship Type="http://schemas.openxmlformats.org/officeDocument/2006/relationships/hyperlink" Target="https://claude.ai/chat/0e9ba185-e69b-42db-b283-942403843458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zillow.com/homedetails/1206-39th-St-Des-Moines-IA-50311/251547794_zpid/" TargetMode="External" Id="rId1" /><Relationship Type="http://schemas.openxmlformats.org/officeDocument/2006/relationships/hyperlink" Target="https://claude.ai/chat/678ac26d-5f5d-4da2-a314-0a3a43b9a5ea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zillow.com/homedetails/401-Franklin-Ave-Des-Moines-IA-50314/788740_zpid/" TargetMode="External" Id="rId1" /><Relationship Type="http://schemas.openxmlformats.org/officeDocument/2006/relationships/hyperlink" Target="https://claude.ai/chat/1851ccbb-888a-40ad-a3b5-c09f889b7697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zillow.com/homedetails/1608-Mondamin-Ave-Des-Moines-IA-50314/791313_zpid/" TargetMode="External" Id="rId1" /><Relationship Type="http://schemas.openxmlformats.org/officeDocument/2006/relationships/hyperlink" Target="https://claude.ai/chat/8db00ee5-fc68-4272-8f80-77e062a2699d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zillow.com/homedetails/1064-27th-St-Des-Moines-IA-50311/772187_zpid/" TargetMode="External" Id="rId1" /><Relationship Type="http://schemas.openxmlformats.org/officeDocument/2006/relationships/hyperlink" Target="https://claude.ai/chat/da7a4670-9d6f-4f21-8430-9d874a31f628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zillow.com/homedetails/518-35th-St-Des-Moines-IA-50312/251547772_zpid/" TargetMode="External" Id="rId1" /><Relationship Type="http://schemas.openxmlformats.org/officeDocument/2006/relationships/hyperlink" Target="https://claude.ai/chat/d75f19f3-916e-4bfe-9b50-3db943e0d922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zillow.com/homedetails/1148-36th-St-Des-Moines-IA-50311/251547694_zpid/" TargetMode="External" Id="rId1" /><Relationship Type="http://schemas.openxmlformats.org/officeDocument/2006/relationships/hyperlink" Target="https://claude.ai/chat/f4098497-da52-41c2-bc67-16f440e35aa0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zillow.com/homedetails/1514-Harrison-Ave-Des-Moines-IA-50314/251547601_zpid/" TargetMode="External" Id="rId1" /><Relationship Type="http://schemas.openxmlformats.org/officeDocument/2006/relationships/hyperlink" Target="https://claude.ai/chat/04a8a465-e970-4ea8-8080-3925860a4706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zillow.com/homedetails/3900-11th-St-Des-Moines-IA-50313/251547556_zpid/" TargetMode="External" Id="rId1" /><Relationship Type="http://schemas.openxmlformats.org/officeDocument/2006/relationships/hyperlink" Target="https://claude.ai/chat/04a8a465-e970-4ea8-8080-3925860a4706" TargetMode="Externa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1"/>
  <sheetViews>
    <sheetView workbookViewId="0">
      <selection activeCell="B9" sqref="B9"/>
    </sheetView>
  </sheetViews>
  <sheetFormatPr baseColWidth="10" defaultRowHeight="16"/>
  <cols>
    <col width="37.83203125" customWidth="1" style="39" min="1" max="1"/>
    <col width="12.5" bestFit="1" customWidth="1" style="39" min="3" max="3"/>
    <col width="17.6640625" customWidth="1" style="39" min="4" max="4"/>
    <col width="24.33203125" customWidth="1" style="39" min="5" max="5"/>
    <col width="14.1640625" bestFit="1" customWidth="1" style="39" min="7" max="7"/>
  </cols>
  <sheetData>
    <row r="1">
      <c r="A1" s="3" t="inlineStr">
        <is>
          <t>Assumption</t>
        </is>
      </c>
      <c r="B1" s="3" t="inlineStr">
        <is>
          <t>Value</t>
        </is>
      </c>
      <c r="D1" s="3" t="inlineStr">
        <is>
          <t>Loan Types</t>
        </is>
      </c>
      <c r="E1" s="3" t="inlineStr">
        <is>
          <t>Down Payment Percentage</t>
        </is>
      </c>
      <c r="G1" s="3" t="n"/>
    </row>
    <row r="2">
      <c r="A2" t="inlineStr">
        <is>
          <t>Des Moines Property Tax Rate</t>
        </is>
      </c>
      <c r="B2" s="44" t="n">
        <v>0.01565</v>
      </c>
      <c r="D2" t="inlineStr">
        <is>
          <t>FHA</t>
        </is>
      </c>
      <c r="E2" t="n">
        <v>0.035</v>
      </c>
    </row>
    <row r="3">
      <c r="A3" t="inlineStr">
        <is>
          <t>Vacancy Rate</t>
        </is>
      </c>
      <c r="B3" s="7">
        <f>1/12</f>
        <v/>
      </c>
      <c r="D3" t="inlineStr">
        <is>
          <t>Conventional - 5%</t>
        </is>
      </c>
      <c r="E3" t="n">
        <v>0.05</v>
      </c>
    </row>
    <row r="4">
      <c r="A4" t="inlineStr">
        <is>
          <t>Repair Cost Savings Rate</t>
        </is>
      </c>
      <c r="B4" s="7">
        <f>0.05</f>
        <v/>
      </c>
    </row>
    <row r="5">
      <c r="A5" t="inlineStr">
        <is>
          <t>Closing Costs Rate</t>
        </is>
      </c>
      <c r="B5" s="6" t="n">
        <v>0.04</v>
      </c>
    </row>
    <row r="6">
      <c r="A6" t="inlineStr">
        <is>
          <t>Interest Rate</t>
        </is>
      </c>
      <c r="B6" s="7" t="n">
        <v>0.0622</v>
      </c>
    </row>
    <row r="7">
      <c r="A7" t="inlineStr">
        <is>
          <t>FHA Upfront MIP</t>
        </is>
      </c>
      <c r="B7" s="7" t="n">
        <v>0.0175</v>
      </c>
    </row>
    <row r="8">
      <c r="A8" t="inlineStr">
        <is>
          <t>Annual MIP</t>
        </is>
      </c>
      <c r="B8" s="7">
        <f>0.0085</f>
        <v/>
      </c>
    </row>
    <row r="9">
      <c r="A9" t="inlineStr">
        <is>
          <t>Loan Length in Years</t>
        </is>
      </c>
      <c r="B9" s="18" t="n">
        <v>30</v>
      </c>
    </row>
    <row r="10">
      <c r="A10" t="inlineStr">
        <is>
          <t>Property Tax Rate</t>
        </is>
      </c>
      <c r="B10" s="7" t="n">
        <v>0</v>
      </c>
    </row>
    <row r="11">
      <c r="A11" t="inlineStr">
        <is>
          <t>Property Appreciation Rate</t>
        </is>
      </c>
      <c r="B11" s="7" t="n">
        <v>0.02</v>
      </c>
    </row>
  </sheetData>
  <pageMargins left="0.7" right="0.7" top="0.75" bottom="0.75" header="0.3" footer="0.3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11"/>
  <sheetViews>
    <sheetView zoomScale="112" zoomScaleNormal="112" workbookViewId="0">
      <selection activeCell="A11" sqref="A11:XFD11"/>
    </sheetView>
  </sheetViews>
  <sheetFormatPr baseColWidth="10" defaultRowHeight="16"/>
  <cols>
    <col width="26.33203125" bestFit="1" customWidth="1" style="39" min="1" max="1"/>
    <col width="7.1640625" customWidth="1" style="39" min="2" max="2"/>
    <col width="7.6640625" customWidth="1" style="39" min="3" max="3"/>
    <col width="7.33203125" customWidth="1" style="39" min="4" max="5"/>
    <col width="14.83203125" customWidth="1" style="39" min="6" max="6"/>
    <col width="17.33203125" customWidth="1" style="39" min="7" max="7"/>
    <col width="21.5" customWidth="1" style="39" min="8" max="8"/>
    <col width="17.33203125" customWidth="1" style="39" min="9" max="9"/>
    <col width="21.5" customWidth="1" style="39" min="10" max="10"/>
    <col width="17.6640625" bestFit="1" customWidth="1" style="39" min="11" max="11"/>
    <col width="20.83203125" customWidth="1" style="39" min="12" max="12"/>
    <col width="16.5" customWidth="1" style="39" min="13" max="13"/>
    <col width="20.83203125" customWidth="1" style="39" min="14" max="14"/>
    <col width="15.5" customWidth="1" style="39" min="15" max="15"/>
    <col width="19.83203125" customWidth="1" style="39" min="16" max="16"/>
    <col width="12.33203125" customWidth="1" style="39" min="17" max="17"/>
    <col width="16.6640625" customWidth="1" style="39" min="18" max="18"/>
  </cols>
  <sheetData>
    <row r="1" customFormat="1" s="32">
      <c r="A1" s="31" t="inlineStr">
        <is>
          <t>Property ID</t>
        </is>
      </c>
      <c r="B1" s="31" t="inlineStr">
        <is>
          <t>Beds</t>
        </is>
      </c>
      <c r="C1" s="31" t="inlineStr">
        <is>
          <t>Baths</t>
        </is>
      </c>
      <c r="D1" s="31" t="inlineStr">
        <is>
          <t>Sqr ft</t>
        </is>
      </c>
      <c r="E1" s="31" t="inlineStr">
        <is>
          <t>Units</t>
        </is>
      </c>
      <c r="F1" s="31" t="inlineStr">
        <is>
          <t>Purchase Price</t>
        </is>
      </c>
      <c r="G1" s="31" t="inlineStr">
        <is>
          <t>Cash Needed FHA</t>
        </is>
      </c>
      <c r="H1" s="31" t="inlineStr">
        <is>
          <t>Cash Needed 5% Down</t>
        </is>
      </c>
      <c r="I1" s="31" t="inlineStr">
        <is>
          <t>Monthly Cost FHA</t>
        </is>
      </c>
      <c r="J1" s="31" t="inlineStr">
        <is>
          <t>Monthly Cost 5% Down</t>
        </is>
      </c>
      <c r="K1" s="31" t="inlineStr">
        <is>
          <t>Cashflow Y1 FHA</t>
        </is>
      </c>
      <c r="L1" s="31" t="inlineStr">
        <is>
          <t>Cashflow Y1 5% Down</t>
        </is>
      </c>
      <c r="M1" s="31" t="inlineStr">
        <is>
          <t>Cashflow Y2 FHA</t>
        </is>
      </c>
      <c r="N1" s="31" t="inlineStr">
        <is>
          <t>Cashflow Y2 5% Down</t>
        </is>
      </c>
      <c r="O1" s="31" t="inlineStr">
        <is>
          <t>Cap rate Y2 FHA</t>
        </is>
      </c>
      <c r="P1" s="31" t="inlineStr">
        <is>
          <t>Cap rate Y2 5% Down</t>
        </is>
      </c>
      <c r="Q1" s="31" t="inlineStr">
        <is>
          <t>CoC Y1 FHA</t>
        </is>
      </c>
      <c r="R1" s="31" t="inlineStr">
        <is>
          <t>CoC Y1 5% Down</t>
        </is>
      </c>
    </row>
    <row r="2">
      <c r="A2" t="inlineStr">
        <is>
          <t>518 35th St</t>
        </is>
      </c>
      <c r="B2" s="33">
        <f t="array" ref="B2">INDIRECT("'"&amp;$A2&amp;"'!B5",TRUE)</f>
        <v/>
      </c>
      <c r="C2" s="33">
        <f t="array" ref="C2">INDIRECT("'"&amp;$A2&amp;"'!B6",TRUE)</f>
        <v/>
      </c>
      <c r="D2" s="33">
        <f t="array" ref="D2">INDIRECT("'"&amp;$A2&amp;"'!B4",TRUE)</f>
        <v/>
      </c>
      <c r="E2" s="33">
        <f t="array" ref="E2">INDIRECT("'"&amp;$A2&amp;"'!B2",TRUE)</f>
        <v/>
      </c>
      <c r="F2" s="45">
        <f t="array" ref="F2">INDIRECT("'"&amp;$A2&amp;"'!B3",TRUE)</f>
        <v/>
      </c>
      <c r="G2" s="45">
        <f t="array" ref="G2">INDIRECT("'"&amp;$A2&amp;"'!B35",TRUE)</f>
        <v/>
      </c>
      <c r="H2" s="45">
        <f t="array" ref="H2">INDIRECT("'"&amp;$A2&amp;"'!C35",TRUE)</f>
        <v/>
      </c>
      <c r="I2" s="45">
        <f t="array" ref="I2">INDIRECT("'"&amp;$A2&amp;"'!B34",TRUE)</f>
        <v/>
      </c>
      <c r="J2" s="45">
        <f t="array" ref="J2">INDIRECT("'"&amp;$A2&amp;"'!C34",TRUE)</f>
        <v/>
      </c>
      <c r="K2" s="45">
        <f t="array" ref="K2">INDIRECT("'"&amp;$A2&amp;"'!B46",TRUE)</f>
        <v/>
      </c>
      <c r="L2" s="45">
        <f t="array" ref="L2">INDIRECT("'"&amp;$A2&amp;"'!C46",TRUE)</f>
        <v/>
      </c>
      <c r="M2" s="45">
        <f t="array" ref="M2">INDIRECT("'"&amp;$A2&amp;"'!B47",TRUE)</f>
        <v/>
      </c>
      <c r="N2" s="45">
        <f t="array" ref="N2">INDIRECT("'"&amp;$A2&amp;"'!C47",TRUE)</f>
        <v/>
      </c>
      <c r="O2" s="37">
        <f t="array" ref="O2">INDIRECT("'"&amp;$A2&amp;"'!B53",TRUE)</f>
        <v/>
      </c>
      <c r="P2" s="37">
        <f t="array" ref="P2">INDIRECT("'"&amp;$A2&amp;"'!C53",TRUE)</f>
        <v/>
      </c>
      <c r="Q2" s="37">
        <f t="array" ref="Q2">INDIRECT("'"&amp;$A2&amp;"'!B54",TRUE)</f>
        <v/>
      </c>
      <c r="R2" s="37">
        <f t="array" ref="R2">INDIRECT("'"&amp;$A2&amp;"'!C54",TRUE)</f>
        <v/>
      </c>
    </row>
    <row r="3">
      <c r="A3" t="inlineStr">
        <is>
          <t>1175 21st St</t>
        </is>
      </c>
      <c r="B3" s="33">
        <f t="array" ref="B3">INDIRECT("'"&amp;$A3&amp;"'!B5",TRUE)</f>
        <v/>
      </c>
      <c r="C3" s="33">
        <f t="array" ref="C3">INDIRECT("'"&amp;$A3&amp;"'!B6",TRUE)</f>
        <v/>
      </c>
      <c r="D3" s="33">
        <f t="array" ref="D3">INDIRECT("'"&amp;$A3&amp;"'!B4",TRUE)</f>
        <v/>
      </c>
      <c r="E3" s="33">
        <f t="array" ref="E3">INDIRECT("'"&amp;$A3&amp;"'!B2",TRUE)</f>
        <v/>
      </c>
      <c r="F3" s="45">
        <f t="array" ref="F3">INDIRECT("'"&amp;$A3&amp;"'!B3",TRUE)</f>
        <v/>
      </c>
      <c r="G3" s="45">
        <f t="array" ref="G3">INDIRECT("'"&amp;$A3&amp;"'!B35",TRUE)</f>
        <v/>
      </c>
      <c r="H3" s="45">
        <f t="array" ref="H3">INDIRECT("'"&amp;$A3&amp;"'!C35",TRUE)</f>
        <v/>
      </c>
      <c r="I3" s="45">
        <f t="array" ref="I3">INDIRECT("'"&amp;$A3&amp;"'!B34",TRUE)</f>
        <v/>
      </c>
      <c r="J3" s="45">
        <f t="array" ref="J3">INDIRECT("'"&amp;$A3&amp;"'!C34",TRUE)</f>
        <v/>
      </c>
      <c r="K3" s="45">
        <f t="array" ref="K3">INDIRECT("'"&amp;$A3&amp;"'!B46",TRUE)</f>
        <v/>
      </c>
      <c r="L3" s="45">
        <f t="array" ref="L3">INDIRECT("'"&amp;$A3&amp;"'!C46",TRUE)</f>
        <v/>
      </c>
      <c r="M3" s="45">
        <f t="array" ref="M3">INDIRECT("'"&amp;$A3&amp;"'!B47",TRUE)</f>
        <v/>
      </c>
      <c r="N3" s="45">
        <f t="array" ref="N3">INDIRECT("'"&amp;$A3&amp;"'!C47",TRUE)</f>
        <v/>
      </c>
      <c r="O3" s="37">
        <f t="array" ref="O3">INDIRECT("'"&amp;$A3&amp;"'!B53",TRUE)</f>
        <v/>
      </c>
      <c r="P3" s="37">
        <f t="array" ref="P3">INDIRECT("'"&amp;$A3&amp;"'!C53",TRUE)</f>
        <v/>
      </c>
      <c r="Q3" s="37">
        <f t="array" ref="Q3">INDIRECT("'"&amp;$A3&amp;"'!B54",TRUE)</f>
        <v/>
      </c>
      <c r="R3" s="37">
        <f t="array" ref="R3">INDIRECT("'"&amp;$A3&amp;"'!C54",TRUE)</f>
        <v/>
      </c>
    </row>
    <row r="4">
      <c r="A4" t="inlineStr">
        <is>
          <t>1514 Harrison Ave</t>
        </is>
      </c>
      <c r="B4" s="33">
        <f t="array" ref="B4">INDIRECT("'"&amp;$A4&amp;"'!B5",TRUE)</f>
        <v/>
      </c>
      <c r="C4" s="33">
        <f t="array" ref="C4">INDIRECT("'"&amp;$A4&amp;"'!B6",TRUE)</f>
        <v/>
      </c>
      <c r="D4" s="33">
        <f t="array" ref="D4">INDIRECT("'"&amp;$A4&amp;"'!B4",TRUE)</f>
        <v/>
      </c>
      <c r="E4" s="33">
        <f t="array" ref="E4">INDIRECT("'"&amp;$A4&amp;"'!B2",TRUE)</f>
        <v/>
      </c>
      <c r="F4" s="45">
        <f t="array" ref="F4">INDIRECT("'"&amp;$A4&amp;"'!B3",TRUE)</f>
        <v/>
      </c>
      <c r="G4" s="45">
        <f t="array" ref="G4">INDIRECT("'"&amp;$A4&amp;"'!B35",TRUE)</f>
        <v/>
      </c>
      <c r="H4" s="45">
        <f t="array" ref="H4">INDIRECT("'"&amp;$A4&amp;"'!C35",TRUE)</f>
        <v/>
      </c>
      <c r="I4" s="45">
        <f t="array" ref="I4">INDIRECT("'"&amp;$A4&amp;"'!B34",TRUE)</f>
        <v/>
      </c>
      <c r="J4" s="45">
        <f t="array" ref="J4">INDIRECT("'"&amp;$A4&amp;"'!C34",TRUE)</f>
        <v/>
      </c>
      <c r="K4" s="45">
        <f t="array" ref="K4">INDIRECT("'"&amp;$A4&amp;"'!B46",TRUE)</f>
        <v/>
      </c>
      <c r="L4" s="45">
        <f t="array" ref="L4">INDIRECT("'"&amp;$A4&amp;"'!C46",TRUE)</f>
        <v/>
      </c>
      <c r="M4" s="45">
        <f t="array" ref="M4">INDIRECT("'"&amp;$A4&amp;"'!B47",TRUE)</f>
        <v/>
      </c>
      <c r="N4" s="45">
        <f t="array" ref="N4">INDIRECT("'"&amp;$A4&amp;"'!C47",TRUE)</f>
        <v/>
      </c>
      <c r="O4" s="37">
        <f t="array" ref="O4">INDIRECT("'"&amp;$A4&amp;"'!B53",TRUE)</f>
        <v/>
      </c>
      <c r="P4" s="37">
        <f t="array" ref="P4">INDIRECT("'"&amp;$A4&amp;"'!C53",TRUE)</f>
        <v/>
      </c>
      <c r="Q4" s="37">
        <f t="array" ref="Q4">INDIRECT("'"&amp;$A4&amp;"'!B54",TRUE)</f>
        <v/>
      </c>
      <c r="R4" s="37">
        <f t="array" ref="R4">INDIRECT("'"&amp;$A4&amp;"'!C54",TRUE)</f>
        <v/>
      </c>
    </row>
    <row r="5">
      <c r="A5" t="inlineStr">
        <is>
          <t>1148 36th St</t>
        </is>
      </c>
      <c r="B5" s="33">
        <f t="array" ref="B5">INDIRECT("'"&amp;$A5&amp;"'!B5",TRUE)</f>
        <v/>
      </c>
      <c r="C5" s="33">
        <f t="array" ref="C5">INDIRECT("'"&amp;$A5&amp;"'!B6",TRUE)</f>
        <v/>
      </c>
      <c r="D5" s="33">
        <f t="array" ref="D5">INDIRECT("'"&amp;$A5&amp;"'!B4",TRUE)</f>
        <v/>
      </c>
      <c r="E5" s="33">
        <f t="array" ref="E5">INDIRECT("'"&amp;$A5&amp;"'!B2",TRUE)</f>
        <v/>
      </c>
      <c r="F5" s="45">
        <f t="array" ref="F5">INDIRECT("'"&amp;$A5&amp;"'!B3",TRUE)</f>
        <v/>
      </c>
      <c r="G5" s="45">
        <f t="array" ref="G5">INDIRECT("'"&amp;$A5&amp;"'!B35",TRUE)</f>
        <v/>
      </c>
      <c r="H5" s="45">
        <f t="array" ref="H5">INDIRECT("'"&amp;$A5&amp;"'!C35",TRUE)</f>
        <v/>
      </c>
      <c r="I5" s="45">
        <f t="array" ref="I5">INDIRECT("'"&amp;$A5&amp;"'!B34",TRUE)</f>
        <v/>
      </c>
      <c r="J5" s="45">
        <f t="array" ref="J5">INDIRECT("'"&amp;$A5&amp;"'!C34",TRUE)</f>
        <v/>
      </c>
      <c r="K5" s="45">
        <f t="array" ref="K5">INDIRECT("'"&amp;$A5&amp;"'!B46",TRUE)</f>
        <v/>
      </c>
      <c r="L5" s="45">
        <f t="array" ref="L5">INDIRECT("'"&amp;$A5&amp;"'!C46",TRUE)</f>
        <v/>
      </c>
      <c r="M5" s="45">
        <f t="array" ref="M5">INDIRECT("'"&amp;$A5&amp;"'!B47",TRUE)</f>
        <v/>
      </c>
      <c r="N5" s="45">
        <f t="array" ref="N5">INDIRECT("'"&amp;$A5&amp;"'!C47",TRUE)</f>
        <v/>
      </c>
      <c r="O5" s="37">
        <f t="array" ref="O5">INDIRECT("'"&amp;$A5&amp;"'!B53",TRUE)</f>
        <v/>
      </c>
      <c r="P5" s="37">
        <f t="array" ref="P5">INDIRECT("'"&amp;$A5&amp;"'!C53",TRUE)</f>
        <v/>
      </c>
      <c r="Q5" s="37">
        <f t="array" ref="Q5">INDIRECT("'"&amp;$A5&amp;"'!B54",TRUE)</f>
        <v/>
      </c>
      <c r="R5" s="37">
        <f t="array" ref="R5">INDIRECT("'"&amp;$A5&amp;"'!C54",TRUE)</f>
        <v/>
      </c>
    </row>
    <row r="6">
      <c r="A6" t="inlineStr">
        <is>
          <t>1429 Martin Luther King Jr Pkwy</t>
        </is>
      </c>
      <c r="B6" s="33">
        <f t="array" ref="B6">INDIRECT("'"&amp;$A6&amp;"'!B5",TRUE)</f>
        <v/>
      </c>
      <c r="C6" s="33">
        <f t="array" ref="C6">INDIRECT("'"&amp;$A6&amp;"'!B6",TRUE)</f>
        <v/>
      </c>
      <c r="D6" s="33">
        <f t="array" ref="D6">INDIRECT("'"&amp;$A6&amp;"'!B4",TRUE)</f>
        <v/>
      </c>
      <c r="E6" s="33">
        <f t="array" ref="E6">INDIRECT("'"&amp;$A6&amp;"'!B2",TRUE)</f>
        <v/>
      </c>
      <c r="F6" s="45">
        <f t="array" ref="F6">INDIRECT("'"&amp;$A6&amp;"'!B3",TRUE)</f>
        <v/>
      </c>
      <c r="G6" s="45">
        <f t="array" ref="G6">INDIRECT("'"&amp;$A6&amp;"'!B35",TRUE)</f>
        <v/>
      </c>
      <c r="H6" s="45">
        <f t="array" ref="H6">INDIRECT("'"&amp;$A6&amp;"'!C35",TRUE)</f>
        <v/>
      </c>
      <c r="I6" s="45">
        <f t="array" ref="I6">INDIRECT("'"&amp;$A6&amp;"'!B34",TRUE)</f>
        <v/>
      </c>
      <c r="J6" s="45">
        <f t="array" ref="J6">INDIRECT("'"&amp;$A6&amp;"'!C34",TRUE)</f>
        <v/>
      </c>
      <c r="K6" s="45">
        <f t="array" ref="K6">INDIRECT("'"&amp;$A6&amp;"'!B46",TRUE)</f>
        <v/>
      </c>
      <c r="L6" s="45">
        <f t="array" ref="L6">INDIRECT("'"&amp;$A6&amp;"'!C46",TRUE)</f>
        <v/>
      </c>
      <c r="M6" s="45">
        <f t="array" ref="M6">INDIRECT("'"&amp;$A6&amp;"'!B47",TRUE)</f>
        <v/>
      </c>
      <c r="N6" s="45">
        <f t="array" ref="N6">INDIRECT("'"&amp;$A6&amp;"'!C47",TRUE)</f>
        <v/>
      </c>
      <c r="O6" s="37">
        <f t="array" ref="O6">INDIRECT("'"&amp;$A6&amp;"'!B53",TRUE)</f>
        <v/>
      </c>
      <c r="P6" s="37">
        <f t="array" ref="P6">INDIRECT("'"&amp;$A6&amp;"'!C53",TRUE)</f>
        <v/>
      </c>
      <c r="Q6" s="37">
        <f t="array" ref="Q6">INDIRECT("'"&amp;$A6&amp;"'!B54",TRUE)</f>
        <v/>
      </c>
      <c r="R6" s="37">
        <f t="array" ref="R6">INDIRECT("'"&amp;$A6&amp;"'!C54",TRUE)</f>
        <v/>
      </c>
    </row>
    <row r="7">
      <c r="A7" t="inlineStr">
        <is>
          <t>401 Franklin Ave</t>
        </is>
      </c>
      <c r="B7" s="33">
        <f t="array" ref="B7">INDIRECT("'"&amp;$A7&amp;"'!B5",TRUE)</f>
        <v/>
      </c>
      <c r="C7" s="33">
        <f t="array" ref="C7">INDIRECT("'"&amp;$A7&amp;"'!B6",TRUE)</f>
        <v/>
      </c>
      <c r="D7" s="33">
        <f t="array" ref="D7">INDIRECT("'"&amp;$A7&amp;"'!B4",TRUE)</f>
        <v/>
      </c>
      <c r="E7" s="33">
        <f t="array" ref="E7">INDIRECT("'"&amp;$A7&amp;"'!B2",TRUE)</f>
        <v/>
      </c>
      <c r="F7" s="45">
        <f t="array" ref="F7">INDIRECT("'"&amp;$A7&amp;"'!B3",TRUE)</f>
        <v/>
      </c>
      <c r="G7" s="45">
        <f t="array" ref="G7">INDIRECT("'"&amp;$A7&amp;"'!B35",TRUE)</f>
        <v/>
      </c>
      <c r="H7" s="45">
        <f t="array" ref="H7">INDIRECT("'"&amp;$A7&amp;"'!C35",TRUE)</f>
        <v/>
      </c>
      <c r="I7" s="45">
        <f t="array" ref="I7">INDIRECT("'"&amp;$A7&amp;"'!B34",TRUE)</f>
        <v/>
      </c>
      <c r="J7" s="45">
        <f t="array" ref="J7">INDIRECT("'"&amp;$A7&amp;"'!C34",TRUE)</f>
        <v/>
      </c>
      <c r="K7" s="45">
        <f t="array" ref="K7">INDIRECT("'"&amp;$A7&amp;"'!B46",TRUE)</f>
        <v/>
      </c>
      <c r="L7" s="45">
        <f t="array" ref="L7">INDIRECT("'"&amp;$A7&amp;"'!C46",TRUE)</f>
        <v/>
      </c>
      <c r="M7" s="45">
        <f t="array" ref="M7">INDIRECT("'"&amp;$A7&amp;"'!B47",TRUE)</f>
        <v/>
      </c>
      <c r="N7" s="45">
        <f t="array" ref="N7">INDIRECT("'"&amp;$A7&amp;"'!C47",TRUE)</f>
        <v/>
      </c>
      <c r="O7" s="37">
        <f t="array" ref="O7">INDIRECT("'"&amp;$A7&amp;"'!B53",TRUE)</f>
        <v/>
      </c>
      <c r="P7" s="37">
        <f t="array" ref="P7">INDIRECT("'"&amp;$A7&amp;"'!C53",TRUE)</f>
        <v/>
      </c>
      <c r="Q7" s="37">
        <f t="array" ref="Q7">INDIRECT("'"&amp;$A7&amp;"'!B54",TRUE)</f>
        <v/>
      </c>
      <c r="R7" s="37">
        <f t="array" ref="R7">INDIRECT("'"&amp;$A7&amp;"'!C54",TRUE)</f>
        <v/>
      </c>
    </row>
    <row r="8">
      <c r="A8" t="inlineStr">
        <is>
          <t>1064 27th St</t>
        </is>
      </c>
      <c r="B8" s="33">
        <f t="array" ref="B8">INDIRECT("'"&amp;$A8&amp;"'!B5",TRUE)</f>
        <v/>
      </c>
      <c r="C8" s="33">
        <f t="array" ref="C8">INDIRECT("'"&amp;$A8&amp;"'!B6",TRUE)</f>
        <v/>
      </c>
      <c r="D8" s="33">
        <f t="array" ref="D8">INDIRECT("'"&amp;$A8&amp;"'!B4",TRUE)</f>
        <v/>
      </c>
      <c r="E8" s="33">
        <f t="array" ref="E8">INDIRECT("'"&amp;$A8&amp;"'!B2",TRUE)</f>
        <v/>
      </c>
      <c r="F8" s="45">
        <f t="array" ref="F8">INDIRECT("'"&amp;$A8&amp;"'!B3",TRUE)</f>
        <v/>
      </c>
      <c r="G8" s="45">
        <f t="array" ref="G8">INDIRECT("'"&amp;$A8&amp;"'!B35",TRUE)</f>
        <v/>
      </c>
      <c r="H8" s="45">
        <f t="array" ref="H8">INDIRECT("'"&amp;$A8&amp;"'!C35",TRUE)</f>
        <v/>
      </c>
      <c r="I8" s="45">
        <f t="array" ref="I8">INDIRECT("'"&amp;$A8&amp;"'!B34",TRUE)</f>
        <v/>
      </c>
      <c r="J8" s="45">
        <f t="array" ref="J8">INDIRECT("'"&amp;$A8&amp;"'!C34",TRUE)</f>
        <v/>
      </c>
      <c r="K8" s="45">
        <f t="array" ref="K8">INDIRECT("'"&amp;$A8&amp;"'!B46",TRUE)</f>
        <v/>
      </c>
      <c r="L8" s="45">
        <f t="array" ref="L8">INDIRECT("'"&amp;$A8&amp;"'!C46",TRUE)</f>
        <v/>
      </c>
      <c r="M8" s="45">
        <f t="array" ref="M8">INDIRECT("'"&amp;$A8&amp;"'!B47",TRUE)</f>
        <v/>
      </c>
      <c r="N8" s="45">
        <f t="array" ref="N8">INDIRECT("'"&amp;$A8&amp;"'!C47",TRUE)</f>
        <v/>
      </c>
      <c r="O8" s="37">
        <f t="array" ref="O8">INDIRECT("'"&amp;$A8&amp;"'!B53",TRUE)</f>
        <v/>
      </c>
      <c r="P8" s="37">
        <f t="array" ref="P8">INDIRECT("'"&amp;$A8&amp;"'!C53",TRUE)</f>
        <v/>
      </c>
      <c r="Q8" s="37">
        <f t="array" ref="Q8">INDIRECT("'"&amp;$A8&amp;"'!B54",TRUE)</f>
        <v/>
      </c>
      <c r="R8" s="37">
        <f t="array" ref="R8">INDIRECT("'"&amp;$A8&amp;"'!C54",TRUE)</f>
        <v/>
      </c>
    </row>
    <row r="9">
      <c r="A9" t="inlineStr">
        <is>
          <t>1206 39th St</t>
        </is>
      </c>
      <c r="B9" s="33">
        <f t="array" ref="B9">INDIRECT("'"&amp;$A9&amp;"'!B5",TRUE)</f>
        <v/>
      </c>
      <c r="C9" s="33">
        <f t="array" ref="C9">INDIRECT("'"&amp;$A9&amp;"'!B6",TRUE)</f>
        <v/>
      </c>
      <c r="D9" s="33">
        <f t="array" ref="D9">INDIRECT("'"&amp;$A9&amp;"'!B4",TRUE)</f>
        <v/>
      </c>
      <c r="E9" s="33">
        <f t="array" ref="E9">INDIRECT("'"&amp;$A9&amp;"'!B2",TRUE)</f>
        <v/>
      </c>
      <c r="F9" s="45">
        <f t="array" ref="F9">INDIRECT("'"&amp;$A9&amp;"'!B3",TRUE)</f>
        <v/>
      </c>
      <c r="G9" s="45">
        <f t="array" ref="G9">INDIRECT("'"&amp;$A9&amp;"'!B35",TRUE)</f>
        <v/>
      </c>
      <c r="H9" s="45">
        <f t="array" ref="H9">INDIRECT("'"&amp;$A9&amp;"'!C35",TRUE)</f>
        <v/>
      </c>
      <c r="I9" s="45">
        <f t="array" ref="I9">INDIRECT("'"&amp;$A9&amp;"'!B34",TRUE)</f>
        <v/>
      </c>
      <c r="J9" s="45">
        <f t="array" ref="J9">INDIRECT("'"&amp;$A9&amp;"'!C34",TRUE)</f>
        <v/>
      </c>
      <c r="K9" s="45">
        <f t="array" ref="K9">INDIRECT("'"&amp;$A9&amp;"'!B46",TRUE)</f>
        <v/>
      </c>
      <c r="L9" s="45">
        <f t="array" ref="L9">INDIRECT("'"&amp;$A9&amp;"'!C46",TRUE)</f>
        <v/>
      </c>
      <c r="M9" s="45">
        <f t="array" ref="M9">INDIRECT("'"&amp;$A9&amp;"'!B47",TRUE)</f>
        <v/>
      </c>
      <c r="N9" s="45">
        <f t="array" ref="N9">INDIRECT("'"&amp;$A9&amp;"'!C47",TRUE)</f>
        <v/>
      </c>
      <c r="O9" s="37">
        <f t="array" ref="O9">INDIRECT("'"&amp;$A9&amp;"'!B53",TRUE)</f>
        <v/>
      </c>
      <c r="P9" s="37">
        <f t="array" ref="P9">INDIRECT("'"&amp;$A9&amp;"'!C53",TRUE)</f>
        <v/>
      </c>
      <c r="Q9" s="37">
        <f t="array" ref="Q9">INDIRECT("'"&amp;$A9&amp;"'!B54",TRUE)</f>
        <v/>
      </c>
      <c r="R9" s="37">
        <f t="array" ref="R9">INDIRECT("'"&amp;$A9&amp;"'!C54",TRUE)</f>
        <v/>
      </c>
    </row>
    <row r="10">
      <c r="A10" t="inlineStr">
        <is>
          <t>1608 Mondamin Ave</t>
        </is>
      </c>
      <c r="B10" s="33">
        <f t="array" ref="B10">INDIRECT("'"&amp;$A10&amp;"'!B5",TRUE)</f>
        <v/>
      </c>
      <c r="C10" s="33">
        <f t="array" ref="C10">INDIRECT("'"&amp;$A10&amp;"'!B6",TRUE)</f>
        <v/>
      </c>
      <c r="D10" s="33">
        <f t="array" ref="D10">INDIRECT("'"&amp;$A10&amp;"'!B4",TRUE)</f>
        <v/>
      </c>
      <c r="E10" s="33">
        <f t="array" ref="E10">INDIRECT("'"&amp;$A10&amp;"'!B2",TRUE)</f>
        <v/>
      </c>
      <c r="F10" s="45">
        <f t="array" ref="F10">INDIRECT("'"&amp;$A10&amp;"'!B3",TRUE)</f>
        <v/>
      </c>
      <c r="G10" s="45">
        <f t="array" ref="G10">INDIRECT("'"&amp;$A10&amp;"'!B35",TRUE)</f>
        <v/>
      </c>
      <c r="H10" s="45">
        <f t="array" ref="H10">INDIRECT("'"&amp;$A10&amp;"'!C35",TRUE)</f>
        <v/>
      </c>
      <c r="I10" s="45">
        <f t="array" ref="I10">INDIRECT("'"&amp;$A10&amp;"'!B34",TRUE)</f>
        <v/>
      </c>
      <c r="J10" s="45">
        <f t="array" ref="J10">INDIRECT("'"&amp;$A10&amp;"'!C34",TRUE)</f>
        <v/>
      </c>
      <c r="K10" s="45">
        <f t="array" ref="K10">INDIRECT("'"&amp;$A10&amp;"'!B46",TRUE)</f>
        <v/>
      </c>
      <c r="L10" s="45">
        <f t="array" ref="L10">INDIRECT("'"&amp;$A10&amp;"'!C46",TRUE)</f>
        <v/>
      </c>
      <c r="M10" s="45">
        <f t="array" ref="M10">INDIRECT("'"&amp;$A10&amp;"'!B47",TRUE)</f>
        <v/>
      </c>
      <c r="N10" s="45">
        <f t="array" ref="N10">INDIRECT("'"&amp;$A10&amp;"'!C47",TRUE)</f>
        <v/>
      </c>
      <c r="O10" s="37">
        <f t="array" ref="O10">INDIRECT("'"&amp;$A10&amp;"'!B53",TRUE)</f>
        <v/>
      </c>
      <c r="P10" s="37">
        <f t="array" ref="P10">INDIRECT("'"&amp;$A10&amp;"'!C53",TRUE)</f>
        <v/>
      </c>
      <c r="Q10" s="37">
        <f t="array" ref="Q10">INDIRECT("'"&amp;$A10&amp;"'!B54",TRUE)</f>
        <v/>
      </c>
      <c r="R10" s="37">
        <f t="array" ref="R10">INDIRECT("'"&amp;$A10&amp;"'!C54",TRUE)</f>
        <v/>
      </c>
    </row>
    <row r="11">
      <c r="A11" t="inlineStr">
        <is>
          <t>3900 11th St</t>
        </is>
      </c>
    </row>
  </sheetData>
  <conditionalFormatting sqref="F2:F1048576">
    <cfRule type="colorScale" priority="1">
      <colorScale>
        <cfvo type="min"/>
        <cfvo type="percentile" val="50"/>
        <cfvo type="max"/>
        <color rgb="FF00B050"/>
        <color rgb="FFFFC000"/>
        <color rgb="FFFF0000"/>
      </colorScale>
    </cfRule>
  </conditionalFormatting>
  <conditionalFormatting sqref="G2:G1048576">
    <cfRule type="colorScale" priority="12">
      <colorScale>
        <cfvo type="min"/>
        <cfvo type="percentile" val="50"/>
        <cfvo type="max"/>
        <color rgb="FF00B050"/>
        <color rgb="FFFFC000"/>
        <color rgb="FFFF0000"/>
      </colorScale>
    </cfRule>
  </conditionalFormatting>
  <conditionalFormatting sqref="H2:H1048576">
    <cfRule type="colorScale" priority="11">
      <colorScale>
        <cfvo type="min"/>
        <cfvo type="percentile" val="50"/>
        <cfvo type="max"/>
        <color rgb="FF00B050"/>
        <color rgb="FFFFC000"/>
        <color rgb="FFFF0000"/>
      </colorScale>
    </cfRule>
  </conditionalFormatting>
  <conditionalFormatting sqref="I2:I1048576">
    <cfRule type="colorScale" priority="10">
      <colorScale>
        <cfvo type="min"/>
        <cfvo type="percentile" val="50"/>
        <cfvo type="max"/>
        <color rgb="FF00B050"/>
        <color rgb="FFFFC000"/>
        <color rgb="FFFF0000"/>
      </colorScale>
    </cfRule>
  </conditionalFormatting>
  <conditionalFormatting sqref="J2:J1048576">
    <cfRule type="colorScale" priority="9">
      <colorScale>
        <cfvo type="min"/>
        <cfvo type="percentile" val="50"/>
        <cfvo type="max"/>
        <color rgb="FF00B050"/>
        <color rgb="FFFFC000"/>
        <color rgb="FFFF0000"/>
      </colorScale>
    </cfRule>
  </conditionalFormatting>
  <conditionalFormatting sqref="K2:K1048576">
    <cfRule type="colorScale" priority="8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L2:L7 L8:N1048576 N2:N7">
    <cfRule type="colorScale" priority="7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M2:M7">
    <cfRule type="colorScale" priority="2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O2:O10">
    <cfRule type="colorScale" priority="60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P2:P10">
    <cfRule type="colorScale" priority="61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Q2:Q10">
    <cfRule type="colorScale" priority="62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R2:R10">
    <cfRule type="colorScale" priority="63">
      <colorScale>
        <cfvo type="min"/>
        <cfvo type="percentile" val="50"/>
        <cfvo type="max"/>
        <color rgb="FFFF0000"/>
        <color rgb="FFFFC000"/>
        <color rgb="FF00B050"/>
      </colorScale>
    </cfRule>
  </conditionalFormatting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60"/>
  <sheetViews>
    <sheetView zoomScale="125" workbookViewId="0">
      <selection activeCell="B1" sqref="B1:C1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14" customWidth="1" style="39" min="4" max="4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1514 Harrison Ave, Des Moines, IA 50314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26" t="n">
        <v>3</v>
      </c>
      <c r="E2" t="inlineStr">
        <is>
          <t>1-bed 1-bath</t>
        </is>
      </c>
      <c r="F2" s="46" t="n">
        <v>0</v>
      </c>
    </row>
    <row r="3">
      <c r="A3" s="1" t="inlineStr">
        <is>
          <t>Purchase Price</t>
        </is>
      </c>
      <c r="B3" s="46" t="n">
        <v>220000</v>
      </c>
      <c r="E3" t="inlineStr">
        <is>
          <t>2-bed 1-bath</t>
        </is>
      </c>
      <c r="F3" s="46" t="n">
        <v>995</v>
      </c>
    </row>
    <row r="4">
      <c r="A4" s="1" t="inlineStr">
        <is>
          <t>Square Feet</t>
        </is>
      </c>
      <c r="B4" t="n">
        <v>2491</v>
      </c>
      <c r="E4" t="inlineStr">
        <is>
          <t>3-bed 1-bath</t>
        </is>
      </c>
      <c r="F4" s="46" t="n">
        <v>0</v>
      </c>
    </row>
    <row r="5">
      <c r="A5" s="1" t="inlineStr">
        <is>
          <t>Bedrooms</t>
        </is>
      </c>
      <c r="B5" t="n">
        <v>6</v>
      </c>
      <c r="E5" t="inlineStr">
        <is>
          <t>2-bed 2-bath</t>
        </is>
      </c>
      <c r="F5" s="46" t="n">
        <v>0</v>
      </c>
    </row>
    <row r="6">
      <c r="A6" s="1" t="inlineStr">
        <is>
          <t>Bathrooms</t>
        </is>
      </c>
      <c r="B6" t="n">
        <v>3</v>
      </c>
      <c r="E6" t="inlineStr">
        <is>
          <t>4-bed 2-bath</t>
        </is>
      </c>
      <c r="F6" s="46" t="n">
        <v>0</v>
      </c>
    </row>
    <row r="7">
      <c r="A7" s="1" t="inlineStr">
        <is>
          <t>Lot Size (Sqr ft)</t>
        </is>
      </c>
      <c r="B7" t="n">
        <v>0</v>
      </c>
      <c r="E7" t="inlineStr">
        <is>
          <t>Studio</t>
        </is>
      </c>
      <c r="F7" s="46" t="n">
        <v>0</v>
      </c>
    </row>
    <row r="8">
      <c r="A8" s="1" t="inlineStr">
        <is>
          <t>Built in Year</t>
        </is>
      </c>
      <c r="B8" t="n">
        <v>1900</v>
      </c>
      <c r="E8" t="inlineStr">
        <is>
          <t>None</t>
        </is>
      </c>
      <c r="F8" s="46" t="n">
        <v>0</v>
      </c>
    </row>
    <row r="9">
      <c r="A9" s="1" t="inlineStr">
        <is>
          <t>Cost Per Square Foot</t>
        </is>
      </c>
      <c r="B9" s="47">
        <f>B3/B4</f>
        <v/>
      </c>
    </row>
    <row r="10">
      <c r="A10" s="1" t="n"/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- 5%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-B21)</f>
        <v/>
      </c>
      <c r="C23" s="50">
        <f>PMT(C22/12,Assumptions!$B$9*12, -C21)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Assumptions!$B$3*B31</f>
        <v/>
      </c>
      <c r="C32" s="50">
        <f>Assumptions!$B$3*C31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2-bed 1-bath</t>
        </is>
      </c>
      <c r="C39" s="54">
        <f>VLOOKUP(B39,$E$2:$F$8,2,FALSE)</f>
        <v/>
      </c>
    </row>
    <row r="40">
      <c r="A40" s="2" t="inlineStr">
        <is>
          <t>Unit 2</t>
        </is>
      </c>
      <c r="B40" t="inlineStr">
        <is>
          <t>2-bed 1-bath</t>
        </is>
      </c>
      <c r="C40" s="54">
        <f>VLOOKUP(B40,$E$2:$F$8,2,FALSE)</f>
        <v/>
      </c>
    </row>
    <row r="41">
      <c r="A41" s="2" t="inlineStr">
        <is>
          <t>Unit 3</t>
        </is>
      </c>
      <c r="B41" t="inlineStr">
        <is>
          <t>2-bed 1-bath</t>
        </is>
      </c>
      <c r="C41" s="54">
        <f>VLOOKUP(B41,$E$2:$F$8,2,FALSE)</f>
        <v/>
      </c>
    </row>
    <row r="42">
      <c r="A42" s="2" t="inlineStr">
        <is>
          <t>Unit 4</t>
        </is>
      </c>
      <c r="B42" t="inlineStr">
        <is>
          <t>None</t>
        </is>
      </c>
      <c r="C42" s="54">
        <f>VLOOKUP(B42,$E$2:$F$8,2,FALSE)</f>
        <v/>
      </c>
    </row>
    <row r="43">
      <c r="A43" s="1" t="inlineStr">
        <is>
          <t>Living in Unit…</t>
        </is>
      </c>
      <c r="B43" s="42" t="inlineStr">
        <is>
          <t>Unit 1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 per month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 per month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35">
        <f>B48/$B$3</f>
        <v/>
      </c>
      <c r="C52" s="35">
        <f>C48/$B$3</f>
        <v/>
      </c>
    </row>
    <row r="53">
      <c r="A53" s="27" t="inlineStr">
        <is>
          <t>Capitalization Rate Year 2</t>
        </is>
      </c>
      <c r="B53" s="35">
        <f>B49/$B$3</f>
        <v/>
      </c>
      <c r="C53" s="35">
        <f>C49/$B$3</f>
        <v/>
      </c>
    </row>
    <row r="54">
      <c r="A54" s="27" t="inlineStr">
        <is>
          <t>Cash on Cash Return Year 1</t>
        </is>
      </c>
      <c r="B54" s="35">
        <f>B48/B$35</f>
        <v/>
      </c>
      <c r="C54" s="35">
        <f>C48/C35</f>
        <v/>
      </c>
    </row>
    <row r="55">
      <c r="A55" s="27" t="inlineStr">
        <is>
          <t>Cash on Cash Return Year 2</t>
        </is>
      </c>
      <c r="B55" s="35">
        <f>B49/B$35</f>
        <v/>
      </c>
      <c r="C55" s="35">
        <f>C49/C$35</f>
        <v/>
      </c>
    </row>
    <row r="56">
      <c r="A56" s="27" t="inlineStr">
        <is>
          <t>Gross Rent Multiplier (Year 2)</t>
        </is>
      </c>
      <c r="B56" s="38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conditionalFormatting sqref="B23:C23">
    <cfRule type="cellIs" priority="4" operator="between" dxfId="2" stopIfTrue="1">
      <formula>1200</formula>
      <formula>1500</formula>
    </cfRule>
    <cfRule type="cellIs" priority="5" operator="lessThan" dxfId="1">
      <formula>1200</formula>
    </cfRule>
    <cfRule type="cellIs" priority="6" operator="greaterThan" dxfId="0">
      <formula>1500</formula>
    </cfRule>
  </conditionalFormatting>
  <conditionalFormatting sqref="B34:C34">
    <cfRule type="cellIs" priority="3" operator="between" dxfId="2">
      <formula>1800</formula>
      <formula>2200</formula>
    </cfRule>
    <cfRule type="cellIs" priority="9" operator="lessThan" dxfId="1" stopIfTrue="1">
      <formula>1800</formula>
    </cfRule>
    <cfRule type="cellIs" priority="10" operator="greaterThan" dxfId="0" stopIfTrue="1">
      <formula>2200</formula>
    </cfRule>
  </conditionalFormatting>
  <conditionalFormatting sqref="B35:C35">
    <cfRule type="cellIs" priority="2" operator="between" dxfId="2">
      <formula>20000</formula>
      <formula>30000</formula>
    </cfRule>
    <cfRule type="cellIs" priority="7" operator="lessThan" dxfId="1" stopIfTrue="1">
      <formula>20000</formula>
    </cfRule>
    <cfRule type="cellIs" priority="8" operator="greaterThan" dxfId="0" stopIfTrue="1">
      <formula>30000</formula>
    </cfRule>
  </conditionalFormatting>
  <conditionalFormatting sqref="B46:C47">
    <cfRule type="cellIs" priority="1" operator="between" dxfId="2">
      <formula>100</formula>
      <formula>-150</formula>
    </cfRule>
    <cfRule type="cellIs" priority="11" operator="greaterThan" dxfId="1" stopIfTrue="1">
      <formula>100</formula>
    </cfRule>
    <cfRule type="cellIs" priority="12" operator="lessThan" dxfId="0" stopIfTrue="1">
      <formula>-150</formula>
    </cfRule>
  </conditionalFormatting>
  <dataValidations count="2">
    <dataValidation sqref="B43" showDropDown="0" showInputMessage="1" showErrorMessage="1" allowBlank="1" type="list">
      <formula1>$A$39:$A$42</formula1>
    </dataValidation>
    <dataValidation sqref="B39:B42" showDropDown="0" showInputMessage="1" showErrorMessage="1" allowBlank="1" type="list">
      <formula1>$E$2:$E$8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E1" r:id="rId2"/>
  </hyperlinks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F60"/>
  <sheetViews>
    <sheetView zoomScale="163" workbookViewId="0">
      <selection activeCell="B1" sqref="B1:C1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14" customWidth="1" style="39" min="4" max="4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https://www.zillow.com/homedetails/1175-21st-St-Des-Moines-IA-50311/772225_zpid/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26" t="n">
        <v>2</v>
      </c>
      <c r="E2" t="inlineStr">
        <is>
          <t>1-bed 1-bath</t>
        </is>
      </c>
      <c r="F2" s="46" t="n">
        <v>0</v>
      </c>
    </row>
    <row r="3">
      <c r="A3" s="1" t="inlineStr">
        <is>
          <t>Purchase Price</t>
        </is>
      </c>
      <c r="B3" s="46" t="n">
        <v>212500</v>
      </c>
      <c r="E3" t="inlineStr">
        <is>
          <t>2-bed 1-bath</t>
        </is>
      </c>
      <c r="F3" s="46" t="n">
        <v>975</v>
      </c>
    </row>
    <row r="4">
      <c r="A4" s="1" t="inlineStr">
        <is>
          <t>Square Feet</t>
        </is>
      </c>
      <c r="B4" t="n">
        <v>1568</v>
      </c>
      <c r="E4" t="inlineStr">
        <is>
          <t>3-bed 1-bath</t>
        </is>
      </c>
      <c r="F4" s="46" t="n">
        <v>0</v>
      </c>
    </row>
    <row r="5">
      <c r="A5" s="1" t="inlineStr">
        <is>
          <t>Bedrooms</t>
        </is>
      </c>
      <c r="B5" t="n">
        <v>6</v>
      </c>
      <c r="E5" t="inlineStr">
        <is>
          <t>2-bed 2-bath</t>
        </is>
      </c>
      <c r="F5" s="46" t="n">
        <v>0</v>
      </c>
    </row>
    <row r="6">
      <c r="A6" s="1" t="inlineStr">
        <is>
          <t>Bathrooms</t>
        </is>
      </c>
      <c r="B6" t="n">
        <v>3</v>
      </c>
      <c r="E6" t="inlineStr">
        <is>
          <t>4-bed 2-bath</t>
        </is>
      </c>
      <c r="F6" s="46" t="n">
        <v>2173</v>
      </c>
    </row>
    <row r="7">
      <c r="A7" s="1" t="inlineStr">
        <is>
          <t>Lot Size (Sqr ft)</t>
        </is>
      </c>
      <c r="B7" t="n">
        <v>0</v>
      </c>
      <c r="E7" t="inlineStr">
        <is>
          <t>Studio</t>
        </is>
      </c>
      <c r="F7" s="46" t="n">
        <v>0</v>
      </c>
    </row>
    <row r="8">
      <c r="A8" s="1" t="inlineStr">
        <is>
          <t>Built in Year</t>
        </is>
      </c>
      <c r="B8" t="n">
        <v>1909</v>
      </c>
      <c r="E8" t="inlineStr">
        <is>
          <t>None</t>
        </is>
      </c>
      <c r="F8" s="46" t="n">
        <v>0</v>
      </c>
    </row>
    <row r="9">
      <c r="A9" s="1" t="inlineStr">
        <is>
          <t>Cost Per Square Foot</t>
        </is>
      </c>
      <c r="B9" s="47">
        <f>B3/B4</f>
        <v/>
      </c>
    </row>
    <row r="10">
      <c r="A10" s="1" t="n"/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- 5%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-B21)</f>
        <v/>
      </c>
      <c r="C23" s="50">
        <f>PMT(C22/12,Assumptions!$B$9*12, -C21)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Assumptions!$B$3*B31</f>
        <v/>
      </c>
      <c r="C32" s="50">
        <f>Assumptions!$B$3*C31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2-bed 1-bath</t>
        </is>
      </c>
      <c r="C39" s="54">
        <f>VLOOKUP(B39,$E$2:$F$8,2,FALSE)</f>
        <v/>
      </c>
    </row>
    <row r="40">
      <c r="A40" s="2" t="inlineStr">
        <is>
          <t>Unit 2</t>
        </is>
      </c>
      <c r="B40" t="inlineStr">
        <is>
          <t>4-bed 2-bath</t>
        </is>
      </c>
      <c r="C40" s="54">
        <f>VLOOKUP(B40,$E$2:$F$8,2,FALSE)</f>
        <v/>
      </c>
    </row>
    <row r="41">
      <c r="A41" s="2" t="inlineStr">
        <is>
          <t>Unit 3</t>
        </is>
      </c>
      <c r="B41" t="inlineStr">
        <is>
          <t>None</t>
        </is>
      </c>
      <c r="C41" s="54">
        <f>VLOOKUP(B41,$E$2:$F$8,2,FALSE)</f>
        <v/>
      </c>
    </row>
    <row r="42">
      <c r="A42" s="2" t="inlineStr">
        <is>
          <t>Unit 4</t>
        </is>
      </c>
      <c r="B42" t="inlineStr">
        <is>
          <t>None</t>
        </is>
      </c>
      <c r="C42" s="54">
        <f>VLOOKUP(B42,$E$2:$F$8,2,FALSE)</f>
        <v/>
      </c>
    </row>
    <row r="43">
      <c r="A43" s="1" t="inlineStr">
        <is>
          <t>Living in Unit…</t>
        </is>
      </c>
      <c r="B43" s="42" t="inlineStr">
        <is>
          <t>Unit 1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 per month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 per month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35">
        <f>B48/$B$3</f>
        <v/>
      </c>
      <c r="C52" s="35">
        <f>C48/$B$3</f>
        <v/>
      </c>
    </row>
    <row r="53">
      <c r="A53" s="27" t="inlineStr">
        <is>
          <t>Capitalization Rate Year 2</t>
        </is>
      </c>
      <c r="B53" s="35">
        <f>B49/$B$3</f>
        <v/>
      </c>
      <c r="C53" s="35">
        <f>C49/$B$3</f>
        <v/>
      </c>
    </row>
    <row r="54">
      <c r="A54" s="27" t="inlineStr">
        <is>
          <t>Cash on Cash Return Year 1</t>
        </is>
      </c>
      <c r="B54" s="35">
        <f>B48/B$35</f>
        <v/>
      </c>
      <c r="C54" s="35">
        <f>C48/C35</f>
        <v/>
      </c>
    </row>
    <row r="55">
      <c r="A55" s="27" t="inlineStr">
        <is>
          <t>Cash on Cash Return Year 2</t>
        </is>
      </c>
      <c r="B55" s="35">
        <f>B49/B$35</f>
        <v/>
      </c>
      <c r="C55" s="35">
        <f>C49/C$35</f>
        <v/>
      </c>
    </row>
    <row r="56">
      <c r="A56" s="27" t="inlineStr">
        <is>
          <t>Gross Rent Multiplier (Year 2)</t>
        </is>
      </c>
      <c r="B56" s="38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conditionalFormatting sqref="B23:C23">
    <cfRule type="cellIs" priority="4" operator="between" dxfId="2" stopIfTrue="1">
      <formula>1200</formula>
      <formula>1500</formula>
    </cfRule>
    <cfRule type="cellIs" priority="5" operator="lessThan" dxfId="1">
      <formula>1200</formula>
    </cfRule>
    <cfRule type="cellIs" priority="6" operator="greaterThan" dxfId="0">
      <formula>1500</formula>
    </cfRule>
  </conditionalFormatting>
  <conditionalFormatting sqref="B34:C34">
    <cfRule type="cellIs" priority="3" operator="between" dxfId="2">
      <formula>1800</formula>
      <formula>2200</formula>
    </cfRule>
    <cfRule type="cellIs" priority="9" operator="lessThan" dxfId="1" stopIfTrue="1">
      <formula>1800</formula>
    </cfRule>
    <cfRule type="cellIs" priority="10" operator="greaterThan" dxfId="0" stopIfTrue="1">
      <formula>2200</formula>
    </cfRule>
  </conditionalFormatting>
  <conditionalFormatting sqref="B35:C35">
    <cfRule type="cellIs" priority="2" operator="between" dxfId="2">
      <formula>20000</formula>
      <formula>30000</formula>
    </cfRule>
    <cfRule type="cellIs" priority="7" operator="lessThan" dxfId="1" stopIfTrue="1">
      <formula>20000</formula>
    </cfRule>
    <cfRule type="cellIs" priority="8" operator="greaterThan" dxfId="0" stopIfTrue="1">
      <formula>30000</formula>
    </cfRule>
  </conditionalFormatting>
  <conditionalFormatting sqref="B46:C47">
    <cfRule type="cellIs" priority="1" operator="between" dxfId="2">
      <formula>100</formula>
      <formula>-150</formula>
    </cfRule>
    <cfRule type="cellIs" priority="11" operator="greaterThan" dxfId="1" stopIfTrue="1">
      <formula>100</formula>
    </cfRule>
    <cfRule type="cellIs" priority="12" operator="lessThan" dxfId="0" stopIfTrue="1">
      <formula>-150</formula>
    </cfRule>
  </conditionalFormatting>
  <dataValidations disablePrompts="1" count="2">
    <dataValidation sqref="B39:B42" showDropDown="0" showInputMessage="1" showErrorMessage="1" allowBlank="1" type="list">
      <formula1>$E$2:$E$8</formula1>
    </dataValidation>
    <dataValidation sqref="B43" showDropDown="0" showInputMessage="1" showErrorMessage="1" allowBlank="1" type="list">
      <formula1>$A$39:$A$42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E1" r:id="rId2"/>
  </hyperlinks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F60"/>
  <sheetViews>
    <sheetView zoomScale="125" workbookViewId="0">
      <selection activeCell="B1" sqref="B1:C1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14" customWidth="1" style="39" min="4" max="4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1429 Martin Luther King Jr Pkwy, Des Moines, IA 50314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26" t="n">
        <v>2</v>
      </c>
      <c r="E2" t="inlineStr">
        <is>
          <t>1-bed 1-bath</t>
        </is>
      </c>
      <c r="F2" s="46" t="n">
        <v>0</v>
      </c>
    </row>
    <row r="3">
      <c r="A3" s="1" t="inlineStr">
        <is>
          <t>Purchase Price</t>
        </is>
      </c>
      <c r="B3" s="46" t="n">
        <v>169000</v>
      </c>
      <c r="E3" t="inlineStr">
        <is>
          <t>2-bed 1-bath</t>
        </is>
      </c>
      <c r="F3" s="46" t="n">
        <v>1100</v>
      </c>
    </row>
    <row r="4">
      <c r="A4" s="1" t="inlineStr">
        <is>
          <t>Square Feet</t>
        </is>
      </c>
      <c r="B4" t="n">
        <v>2544</v>
      </c>
      <c r="E4" t="inlineStr">
        <is>
          <t>3-bed 1-bath</t>
        </is>
      </c>
      <c r="F4" s="46" t="n">
        <v>1370</v>
      </c>
    </row>
    <row r="5">
      <c r="A5" s="1" t="inlineStr">
        <is>
          <t>Bedrooms</t>
        </is>
      </c>
      <c r="B5" t="n">
        <v>5</v>
      </c>
      <c r="E5" t="inlineStr">
        <is>
          <t>2-bed 2-bath</t>
        </is>
      </c>
      <c r="F5" s="46" t="n">
        <v>0</v>
      </c>
    </row>
    <row r="6">
      <c r="A6" s="1" t="inlineStr">
        <is>
          <t>Bathrooms</t>
        </is>
      </c>
      <c r="B6" t="n">
        <v>2</v>
      </c>
      <c r="E6" t="inlineStr">
        <is>
          <t>3-bed 2-bath</t>
        </is>
      </c>
      <c r="F6" s="46" t="n">
        <v>0</v>
      </c>
    </row>
    <row r="7">
      <c r="A7" s="1" t="inlineStr">
        <is>
          <t>Lot Size (Sqr ft)</t>
        </is>
      </c>
      <c r="B7" t="n">
        <v>0</v>
      </c>
      <c r="E7" t="inlineStr">
        <is>
          <t>Studio</t>
        </is>
      </c>
      <c r="F7" s="46" t="n">
        <v>0</v>
      </c>
    </row>
    <row r="8">
      <c r="A8" s="1" t="inlineStr">
        <is>
          <t>Built in Year</t>
        </is>
      </c>
      <c r="B8" t="n">
        <v>1905</v>
      </c>
      <c r="E8" t="inlineStr">
        <is>
          <t>None</t>
        </is>
      </c>
      <c r="F8" s="46" t="n">
        <v>0</v>
      </c>
    </row>
    <row r="9">
      <c r="A9" s="1" t="inlineStr">
        <is>
          <t>Cost Per Square Foot</t>
        </is>
      </c>
      <c r="B9" s="47">
        <f>B3/B4</f>
        <v/>
      </c>
    </row>
    <row r="10">
      <c r="A10" s="1" t="n"/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- 5%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-B21)</f>
        <v/>
      </c>
      <c r="C23" s="50">
        <f>PMT(C22/12,Assumptions!$B$9*12, -C21)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Assumptions!$B$3*B31</f>
        <v/>
      </c>
      <c r="C32" s="50">
        <f>Assumptions!$B$3*C31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3-bed 1-bath</t>
        </is>
      </c>
      <c r="C39" s="54">
        <f>VLOOKUP(B39,$E$2:$F$8,2,FALSE)</f>
        <v/>
      </c>
    </row>
    <row r="40">
      <c r="A40" s="2" t="inlineStr">
        <is>
          <t>Unit 2</t>
        </is>
      </c>
      <c r="B40" t="inlineStr">
        <is>
          <t>2-bed 1-bath</t>
        </is>
      </c>
      <c r="C40" s="54">
        <f>VLOOKUP(B40,$E$2:$F$8,2,FALSE)</f>
        <v/>
      </c>
    </row>
    <row r="41">
      <c r="A41" s="2" t="inlineStr">
        <is>
          <t>Unit 3</t>
        </is>
      </c>
      <c r="B41" t="inlineStr">
        <is>
          <t>None</t>
        </is>
      </c>
      <c r="C41" s="54">
        <f>VLOOKUP(B41,$E$2:$F$8,2,FALSE)</f>
        <v/>
      </c>
    </row>
    <row r="42">
      <c r="A42" s="2" t="inlineStr">
        <is>
          <t>Unit 4</t>
        </is>
      </c>
      <c r="B42" t="inlineStr">
        <is>
          <t>None</t>
        </is>
      </c>
      <c r="C42" s="54">
        <f>VLOOKUP(B42,$E$2:$F$8,2,FALSE)</f>
        <v/>
      </c>
    </row>
    <row r="43">
      <c r="A43" s="1" t="inlineStr">
        <is>
          <t>Living in Unit…</t>
        </is>
      </c>
      <c r="B43" s="42" t="inlineStr">
        <is>
          <t>Unit 2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 per month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 per month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35">
        <f>B48/$B$3</f>
        <v/>
      </c>
      <c r="C52" s="35">
        <f>C48/$B$3</f>
        <v/>
      </c>
    </row>
    <row r="53">
      <c r="A53" s="27" t="inlineStr">
        <is>
          <t>Capitalization Rate Year 2</t>
        </is>
      </c>
      <c r="B53" s="35">
        <f>B49/$B$3</f>
        <v/>
      </c>
      <c r="C53" s="35">
        <f>C49/$B$3</f>
        <v/>
      </c>
    </row>
    <row r="54">
      <c r="A54" s="27" t="inlineStr">
        <is>
          <t>Cash on Cash Return Year 1</t>
        </is>
      </c>
      <c r="B54" s="35">
        <f>B48/B$35</f>
        <v/>
      </c>
      <c r="C54" s="35">
        <f>C48/C35</f>
        <v/>
      </c>
    </row>
    <row r="55">
      <c r="A55" s="27" t="inlineStr">
        <is>
          <t>Cash on Cash Return Year 2</t>
        </is>
      </c>
      <c r="B55" s="35">
        <f>B49/B$35</f>
        <v/>
      </c>
      <c r="C55" s="35">
        <f>C49/C$35</f>
        <v/>
      </c>
    </row>
    <row r="56">
      <c r="A56" s="27" t="inlineStr">
        <is>
          <t>Gross Rent Multiplier (Year 2)</t>
        </is>
      </c>
      <c r="B56" s="38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conditionalFormatting sqref="B23:C23">
    <cfRule type="cellIs" priority="4" operator="between" dxfId="2">
      <formula>1300</formula>
      <formula>1500</formula>
    </cfRule>
    <cfRule type="cellIs" priority="5" operator="lessThan" dxfId="1">
      <formula>1200</formula>
    </cfRule>
    <cfRule type="cellIs" priority="6" operator="greaterThan" dxfId="0">
      <formula>1500</formula>
    </cfRule>
  </conditionalFormatting>
  <conditionalFormatting sqref="B34:C34">
    <cfRule type="cellIs" priority="3" operator="between" dxfId="2">
      <formula>1800</formula>
      <formula>2200</formula>
    </cfRule>
    <cfRule type="cellIs" priority="9" operator="lessThan" dxfId="1" stopIfTrue="1">
      <formula>1800</formula>
    </cfRule>
    <cfRule type="cellIs" priority="10" operator="greaterThan" dxfId="0" stopIfTrue="1">
      <formula>2200</formula>
    </cfRule>
  </conditionalFormatting>
  <conditionalFormatting sqref="B35:C35">
    <cfRule type="cellIs" priority="2" operator="between" dxfId="2">
      <formula>20000</formula>
      <formula>30000</formula>
    </cfRule>
    <cfRule type="cellIs" priority="7" operator="lessThan" dxfId="1" stopIfTrue="1">
      <formula>20000</formula>
    </cfRule>
    <cfRule type="cellIs" priority="8" operator="greaterThan" dxfId="0" stopIfTrue="1">
      <formula>30000</formula>
    </cfRule>
  </conditionalFormatting>
  <conditionalFormatting sqref="B46:C47">
    <cfRule type="cellIs" priority="1" operator="between" dxfId="2">
      <formula>100</formula>
      <formula>-150</formula>
    </cfRule>
    <cfRule type="cellIs" priority="11" operator="greaterThan" dxfId="1" stopIfTrue="1">
      <formula>100</formula>
    </cfRule>
    <cfRule type="cellIs" priority="12" operator="lessThan" dxfId="0" stopIfTrue="1">
      <formula>-150</formula>
    </cfRule>
  </conditionalFormatting>
  <dataValidations count="2">
    <dataValidation sqref="B43" showDropDown="0" showInputMessage="1" showErrorMessage="1" allowBlank="1" type="list">
      <formula1>$A$39:$A$42</formula1>
    </dataValidation>
    <dataValidation sqref="B39:B42" showDropDown="0" showInputMessage="1" showErrorMessage="1" allowBlank="1" type="list">
      <formula1>$E$2:$E$8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E1" r:id="rId2"/>
  </hyperlinks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F60"/>
  <sheetViews>
    <sheetView zoomScale="125" workbookViewId="0">
      <selection activeCell="B1" sqref="B1:C1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14" customWidth="1" style="39" min="4" max="4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1206 39th St, Des Moines, IA 50311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26" t="n">
        <v>2</v>
      </c>
      <c r="E2" t="inlineStr">
        <is>
          <t>1-bed 1-bath</t>
        </is>
      </c>
      <c r="F2" s="46" t="n">
        <v>0</v>
      </c>
    </row>
    <row r="3">
      <c r="A3" s="1" t="inlineStr">
        <is>
          <t>Purchase Price</t>
        </is>
      </c>
      <c r="B3" s="46" t="n">
        <v>210000</v>
      </c>
      <c r="E3" t="inlineStr">
        <is>
          <t>2-bed 1-bath</t>
        </is>
      </c>
      <c r="F3" s="46" t="n">
        <v>1100</v>
      </c>
    </row>
    <row r="4">
      <c r="A4" s="1" t="inlineStr">
        <is>
          <t>Square Feet</t>
        </is>
      </c>
      <c r="B4" t="n">
        <v>1964</v>
      </c>
      <c r="E4" t="inlineStr">
        <is>
          <t>3-bed 1-bath</t>
        </is>
      </c>
      <c r="F4" s="46" t="n">
        <v>0</v>
      </c>
    </row>
    <row r="5">
      <c r="A5" s="1" t="inlineStr">
        <is>
          <t>Bedrooms</t>
        </is>
      </c>
      <c r="B5" t="n">
        <v>4</v>
      </c>
      <c r="E5" t="inlineStr">
        <is>
          <t>2-bed 2-bath</t>
        </is>
      </c>
      <c r="F5" s="46" t="n">
        <v>1150</v>
      </c>
    </row>
    <row r="6">
      <c r="A6" s="1" t="inlineStr">
        <is>
          <t>Bathrooms</t>
        </is>
      </c>
      <c r="B6" t="n">
        <v>3</v>
      </c>
      <c r="E6" t="inlineStr">
        <is>
          <t>3-bed 2-bath</t>
        </is>
      </c>
      <c r="F6" s="46" t="n">
        <v>0</v>
      </c>
    </row>
    <row r="7">
      <c r="A7" s="1" t="inlineStr">
        <is>
          <t>Lot Size (Sqr ft)</t>
        </is>
      </c>
      <c r="B7" t="n">
        <v>0</v>
      </c>
      <c r="E7" t="inlineStr">
        <is>
          <t>Studio</t>
        </is>
      </c>
      <c r="F7" s="46" t="n">
        <v>0</v>
      </c>
    </row>
    <row r="8">
      <c r="A8" s="1" t="inlineStr">
        <is>
          <t>Built in Year</t>
        </is>
      </c>
      <c r="B8" t="n">
        <v>1918</v>
      </c>
      <c r="E8" t="inlineStr">
        <is>
          <t>None</t>
        </is>
      </c>
      <c r="F8" s="46" t="n">
        <v>0</v>
      </c>
    </row>
    <row r="9">
      <c r="A9" s="1" t="inlineStr">
        <is>
          <t>Cost Per Square Foot</t>
        </is>
      </c>
      <c r="B9" s="47">
        <f>B3/B4</f>
        <v/>
      </c>
    </row>
    <row r="10">
      <c r="A10" s="1" t="n"/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- 5%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-B21)</f>
        <v/>
      </c>
      <c r="C23" s="50">
        <f>PMT(C22/12,Assumptions!$B$9*12, -C21)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Assumptions!$B$3*B31</f>
        <v/>
      </c>
      <c r="C32" s="50">
        <f>Assumptions!$B$3*C31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2-bed 2-bath</t>
        </is>
      </c>
      <c r="C39" s="54">
        <f>VLOOKUP(B39,$E$2:$F$8,2,FALSE)</f>
        <v/>
      </c>
    </row>
    <row r="40">
      <c r="A40" s="2" t="inlineStr">
        <is>
          <t>Unit 2</t>
        </is>
      </c>
      <c r="B40" t="inlineStr">
        <is>
          <t>2-bed 1-bath</t>
        </is>
      </c>
      <c r="C40" s="54">
        <f>VLOOKUP(B40,$E$2:$F$8,2,FALSE)</f>
        <v/>
      </c>
    </row>
    <row r="41">
      <c r="A41" s="2" t="inlineStr">
        <is>
          <t>Unit 3</t>
        </is>
      </c>
      <c r="B41" t="inlineStr">
        <is>
          <t>None</t>
        </is>
      </c>
      <c r="C41" s="54">
        <f>VLOOKUP(B41,$E$2:$F$8,2,FALSE)</f>
        <v/>
      </c>
    </row>
    <row r="42">
      <c r="A42" s="2" t="inlineStr">
        <is>
          <t>Unit 4</t>
        </is>
      </c>
      <c r="B42" t="inlineStr">
        <is>
          <t>None</t>
        </is>
      </c>
      <c r="C42" s="54">
        <f>VLOOKUP(B42,$E$2:$F$8,2,FALSE)</f>
        <v/>
      </c>
    </row>
    <row r="43">
      <c r="A43" s="1" t="inlineStr">
        <is>
          <t>Living in Unit…</t>
        </is>
      </c>
      <c r="B43" s="42" t="inlineStr">
        <is>
          <t>Unit 2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 per month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 per month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35">
        <f>B48/$B$3</f>
        <v/>
      </c>
      <c r="C52" s="35">
        <f>C48/$B$3</f>
        <v/>
      </c>
    </row>
    <row r="53">
      <c r="A53" s="27" t="inlineStr">
        <is>
          <t>Capitalization Rate Year 2</t>
        </is>
      </c>
      <c r="B53" s="35">
        <f>B49/$B$3</f>
        <v/>
      </c>
      <c r="C53" s="35">
        <f>C49/$B$3</f>
        <v/>
      </c>
    </row>
    <row r="54">
      <c r="A54" s="27" t="inlineStr">
        <is>
          <t>Cash on Cash Return Year 1</t>
        </is>
      </c>
      <c r="B54" s="35">
        <f>B48/B$35</f>
        <v/>
      </c>
      <c r="C54" s="35">
        <f>C48/C35</f>
        <v/>
      </c>
    </row>
    <row r="55">
      <c r="A55" s="27" t="inlineStr">
        <is>
          <t>Cash on Cash Return Year 2</t>
        </is>
      </c>
      <c r="B55" s="35">
        <f>B49/B$35</f>
        <v/>
      </c>
      <c r="C55" s="35">
        <f>C49/C$35</f>
        <v/>
      </c>
    </row>
    <row r="56">
      <c r="A56" s="27" t="inlineStr">
        <is>
          <t>Gross Rent Multiplier (Year 2)</t>
        </is>
      </c>
      <c r="B56" s="38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conditionalFormatting sqref="B23:C23">
    <cfRule type="cellIs" priority="4" operator="between" dxfId="2" stopIfTrue="1">
      <formula>1200</formula>
      <formula>1500</formula>
    </cfRule>
    <cfRule type="cellIs" priority="5" operator="lessThan" dxfId="1">
      <formula>1200</formula>
    </cfRule>
    <cfRule type="cellIs" priority="6" operator="greaterThan" dxfId="0">
      <formula>1500</formula>
    </cfRule>
  </conditionalFormatting>
  <conditionalFormatting sqref="B34:C34">
    <cfRule type="cellIs" priority="3" operator="between" dxfId="2">
      <formula>1800</formula>
      <formula>2200</formula>
    </cfRule>
    <cfRule type="cellIs" priority="9" operator="lessThan" dxfId="1" stopIfTrue="1">
      <formula>1800</formula>
    </cfRule>
    <cfRule type="cellIs" priority="10" operator="greaterThan" dxfId="0" stopIfTrue="1">
      <formula>2200</formula>
    </cfRule>
  </conditionalFormatting>
  <conditionalFormatting sqref="B35:C35">
    <cfRule type="cellIs" priority="2" operator="between" dxfId="2">
      <formula>20000</formula>
      <formula>30000</formula>
    </cfRule>
    <cfRule type="cellIs" priority="7" operator="lessThan" dxfId="1" stopIfTrue="1">
      <formula>20000</formula>
    </cfRule>
    <cfRule type="cellIs" priority="8" operator="greaterThan" dxfId="0" stopIfTrue="1">
      <formula>30000</formula>
    </cfRule>
  </conditionalFormatting>
  <conditionalFormatting sqref="B46:C47">
    <cfRule type="cellIs" priority="1" operator="between" dxfId="2">
      <formula>100</formula>
      <formula>-150</formula>
    </cfRule>
    <cfRule type="cellIs" priority="11" operator="greaterThan" dxfId="1" stopIfTrue="1">
      <formula>100</formula>
    </cfRule>
    <cfRule type="cellIs" priority="12" operator="lessThan" dxfId="0" stopIfTrue="1">
      <formula>-150</formula>
    </cfRule>
  </conditionalFormatting>
  <dataValidations count="2">
    <dataValidation sqref="B39:B42" showDropDown="0" showInputMessage="1" showErrorMessage="1" allowBlank="1" type="list">
      <formula1>$E$2:$E$8</formula1>
    </dataValidation>
    <dataValidation sqref="B43" showDropDown="0" showInputMessage="1" showErrorMessage="1" allowBlank="1" type="list">
      <formula1>$A$39:$A$42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E1" r:id="rId2"/>
  </hyperlinks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F60"/>
  <sheetViews>
    <sheetView zoomScale="125" workbookViewId="0">
      <selection activeCell="B1" sqref="B1:C1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14" customWidth="1" style="39" min="4" max="4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401 Franklin Ave, Des Moines, IA 50314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26" t="n">
        <v>2</v>
      </c>
      <c r="E2" t="inlineStr">
        <is>
          <t>1-bed 1-bath</t>
        </is>
      </c>
      <c r="F2" s="46" t="n">
        <v>0</v>
      </c>
    </row>
    <row r="3">
      <c r="A3" s="1" t="inlineStr">
        <is>
          <t>Purchase Price</t>
        </is>
      </c>
      <c r="B3" s="46" t="n">
        <v>199900</v>
      </c>
      <c r="E3" t="inlineStr">
        <is>
          <t>2-bed 1-bath</t>
        </is>
      </c>
      <c r="F3" s="46" t="n">
        <v>0</v>
      </c>
    </row>
    <row r="4">
      <c r="A4" s="1" t="inlineStr">
        <is>
          <t>Square Feet</t>
        </is>
      </c>
      <c r="B4" t="n">
        <v>2381</v>
      </c>
      <c r="E4" t="inlineStr">
        <is>
          <t>3-bed 1-bath</t>
        </is>
      </c>
      <c r="F4" s="46" t="n">
        <v>0</v>
      </c>
    </row>
    <row r="5">
      <c r="A5" s="1" t="inlineStr">
        <is>
          <t>Bedrooms</t>
        </is>
      </c>
      <c r="B5" t="n">
        <v>5</v>
      </c>
      <c r="E5" t="inlineStr">
        <is>
          <t>2-bed 2-bath</t>
        </is>
      </c>
      <c r="F5" s="46" t="n">
        <v>1147</v>
      </c>
    </row>
    <row r="6">
      <c r="A6" s="1" t="inlineStr">
        <is>
          <t>Bathrooms</t>
        </is>
      </c>
      <c r="B6" t="n">
        <v>4</v>
      </c>
      <c r="E6" t="inlineStr">
        <is>
          <t>3-bed 2-bath</t>
        </is>
      </c>
      <c r="F6" s="46" t="n">
        <v>1395</v>
      </c>
    </row>
    <row r="7">
      <c r="A7" s="1" t="inlineStr">
        <is>
          <t>Lot Size (Sqr ft)</t>
        </is>
      </c>
      <c r="B7" t="n">
        <v>0</v>
      </c>
      <c r="E7" t="inlineStr">
        <is>
          <t>Studio</t>
        </is>
      </c>
      <c r="F7" s="46" t="n">
        <v>0</v>
      </c>
    </row>
    <row r="8">
      <c r="A8" s="1" t="inlineStr">
        <is>
          <t>Built in Year</t>
        </is>
      </c>
      <c r="B8" t="n">
        <v>1901</v>
      </c>
      <c r="E8" t="inlineStr">
        <is>
          <t>None</t>
        </is>
      </c>
      <c r="F8" s="46" t="n">
        <v>0</v>
      </c>
    </row>
    <row r="9">
      <c r="A9" s="1" t="inlineStr">
        <is>
          <t>Cost Per Square Foot</t>
        </is>
      </c>
      <c r="B9" s="47">
        <f>B3/B4</f>
        <v/>
      </c>
    </row>
    <row r="10">
      <c r="A10" s="1" t="n"/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- 5%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-B21)</f>
        <v/>
      </c>
      <c r="C23" s="50">
        <f>PMT(C22/12,Assumptions!$B$9*12, -C21)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Assumptions!$B$3*B31</f>
        <v/>
      </c>
      <c r="C32" s="50">
        <f>Assumptions!$B$3*C31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2-bed 2-bath</t>
        </is>
      </c>
      <c r="C39" s="54">
        <f>VLOOKUP(B39,$E$2:$F$8,2,FALSE)</f>
        <v/>
      </c>
    </row>
    <row r="40">
      <c r="A40" s="2" t="inlineStr">
        <is>
          <t>Unit 2</t>
        </is>
      </c>
      <c r="B40" t="inlineStr">
        <is>
          <t>3-bed 2-bath</t>
        </is>
      </c>
      <c r="C40" s="54">
        <f>VLOOKUP(B40,$E$2:$F$8,2,FALSE)</f>
        <v/>
      </c>
    </row>
    <row r="41">
      <c r="A41" s="2" t="inlineStr">
        <is>
          <t>Unit 3</t>
        </is>
      </c>
      <c r="B41" t="inlineStr">
        <is>
          <t>None</t>
        </is>
      </c>
      <c r="C41" s="54">
        <f>VLOOKUP(B41,$E$2:$F$8,2,FALSE)</f>
        <v/>
      </c>
    </row>
    <row r="42">
      <c r="A42" s="2" t="inlineStr">
        <is>
          <t>Unit 4</t>
        </is>
      </c>
      <c r="B42" t="inlineStr">
        <is>
          <t>None</t>
        </is>
      </c>
      <c r="C42" s="54">
        <f>VLOOKUP(B42,$E$2:$F$8,2,FALSE)</f>
        <v/>
      </c>
    </row>
    <row r="43">
      <c r="A43" s="1" t="inlineStr">
        <is>
          <t>Living in Unit…</t>
        </is>
      </c>
      <c r="B43" s="42" t="inlineStr">
        <is>
          <t>Unit 1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 per month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 per month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35">
        <f>B48/$B$3</f>
        <v/>
      </c>
      <c r="C52" s="35">
        <f>C48/$B$3</f>
        <v/>
      </c>
    </row>
    <row r="53">
      <c r="A53" s="27" t="inlineStr">
        <is>
          <t>Capitalization Rate Year 2</t>
        </is>
      </c>
      <c r="B53" s="35">
        <f>B49/$B$3</f>
        <v/>
      </c>
      <c r="C53" s="35">
        <f>C49/$B$3</f>
        <v/>
      </c>
    </row>
    <row r="54">
      <c r="A54" s="27" t="inlineStr">
        <is>
          <t>Cash on Cash Return Year 1</t>
        </is>
      </c>
      <c r="B54" s="35">
        <f>B48/B$35</f>
        <v/>
      </c>
      <c r="C54" s="35">
        <f>C48/C35</f>
        <v/>
      </c>
    </row>
    <row r="55">
      <c r="A55" s="27" t="inlineStr">
        <is>
          <t>Cash on Cash Return Year 2</t>
        </is>
      </c>
      <c r="B55" s="35">
        <f>B49/B$35</f>
        <v/>
      </c>
      <c r="C55" s="35">
        <f>C49/C$35</f>
        <v/>
      </c>
    </row>
    <row r="56">
      <c r="A56" s="27" t="inlineStr">
        <is>
          <t>Gross Rent Multiplier (Year 2)</t>
        </is>
      </c>
      <c r="B56" s="38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conditionalFormatting sqref="B23">
    <cfRule type="cellIs" priority="4" operator="between" dxfId="2" stopIfTrue="1">
      <formula>1200</formula>
      <formula>1500</formula>
    </cfRule>
    <cfRule type="cellIs" priority="5" operator="lessThan" dxfId="1">
      <formula>1200</formula>
    </cfRule>
    <cfRule type="cellIs" priority="6" operator="greaterThan" dxfId="0">
      <formula>1500</formula>
    </cfRule>
  </conditionalFormatting>
  <conditionalFormatting sqref="B34:C34">
    <cfRule type="cellIs" priority="9" operator="between" dxfId="2">
      <formula>1800</formula>
      <formula>2200</formula>
    </cfRule>
    <cfRule type="cellIs" priority="15" operator="lessThan" dxfId="1" stopIfTrue="1">
      <formula>1800</formula>
    </cfRule>
    <cfRule type="cellIs" priority="16" operator="greaterThan" dxfId="0" stopIfTrue="1">
      <formula>2200</formula>
    </cfRule>
  </conditionalFormatting>
  <conditionalFormatting sqref="B35:C35">
    <cfRule type="cellIs" priority="8" operator="between" dxfId="2">
      <formula>20000</formula>
      <formula>30000</formula>
    </cfRule>
    <cfRule type="cellIs" priority="13" operator="lessThan" dxfId="1" stopIfTrue="1">
      <formula>20000</formula>
    </cfRule>
    <cfRule type="cellIs" priority="14" operator="greaterThan" dxfId="0" stopIfTrue="1">
      <formula>30000</formula>
    </cfRule>
  </conditionalFormatting>
  <conditionalFormatting sqref="B46:C47">
    <cfRule type="cellIs" priority="7" operator="between" dxfId="2">
      <formula>100</formula>
      <formula>-150</formula>
    </cfRule>
    <cfRule type="cellIs" priority="17" operator="greaterThan" dxfId="1" stopIfTrue="1">
      <formula>100</formula>
    </cfRule>
    <cfRule type="cellIs" priority="18" operator="lessThan" dxfId="0" stopIfTrue="1">
      <formula>-150</formula>
    </cfRule>
  </conditionalFormatting>
  <conditionalFormatting sqref="C23">
    <cfRule type="cellIs" priority="1" operator="between" dxfId="2">
      <formula>1300</formula>
      <formula>1500</formula>
    </cfRule>
    <cfRule type="cellIs" priority="2" operator="lessThan" dxfId="1">
      <formula>1200</formula>
    </cfRule>
    <cfRule type="cellIs" priority="3" operator="greaterThan" dxfId="0">
      <formula>1500</formula>
    </cfRule>
  </conditionalFormatting>
  <dataValidations disablePrompts="1" count="2">
    <dataValidation sqref="B43" showDropDown="0" showInputMessage="1" showErrorMessage="1" allowBlank="1" type="list">
      <formula1>$A$39:$A$42</formula1>
    </dataValidation>
    <dataValidation sqref="B39:B42" showDropDown="0" showInputMessage="1" showErrorMessage="1" allowBlank="1" type="list">
      <formula1>$E$2:$E$8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E1" r:id="rId2"/>
  </hyperlinks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F60"/>
  <sheetViews>
    <sheetView zoomScale="125" workbookViewId="0">
      <selection activeCell="B1" sqref="B1:C1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14" customWidth="1" style="39" min="4" max="4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1608 Mondamin Ave, Des Moines, IA 50314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26" t="n">
        <v>2</v>
      </c>
      <c r="E2" t="inlineStr">
        <is>
          <t>1-bed 1-bath</t>
        </is>
      </c>
      <c r="F2" s="46" t="n">
        <v>0</v>
      </c>
    </row>
    <row r="3">
      <c r="A3" s="1" t="inlineStr">
        <is>
          <t>Purchase Price</t>
        </is>
      </c>
      <c r="B3" s="46" t="n">
        <v>240000</v>
      </c>
      <c r="E3" t="inlineStr">
        <is>
          <t>2-bed 1-bath</t>
        </is>
      </c>
      <c r="F3" s="46" t="n">
        <v>1195</v>
      </c>
    </row>
    <row r="4">
      <c r="A4" s="1" t="inlineStr">
        <is>
          <t>Square Feet</t>
        </is>
      </c>
      <c r="B4" t="n">
        <v>1056</v>
      </c>
      <c r="E4" t="inlineStr">
        <is>
          <t>3-bed 1-bath</t>
        </is>
      </c>
      <c r="F4" s="46" t="n">
        <v>0</v>
      </c>
    </row>
    <row r="5">
      <c r="A5" s="1" t="inlineStr">
        <is>
          <t>Bedrooms</t>
        </is>
      </c>
      <c r="B5" t="n">
        <v>4</v>
      </c>
      <c r="E5" t="inlineStr">
        <is>
          <t>2-bed 2-bath</t>
        </is>
      </c>
      <c r="F5" s="46" t="n">
        <v>0</v>
      </c>
    </row>
    <row r="6">
      <c r="A6" s="1" t="inlineStr">
        <is>
          <t>Bathrooms</t>
        </is>
      </c>
      <c r="B6" t="n">
        <v>2</v>
      </c>
      <c r="E6" t="inlineStr">
        <is>
          <t>3-bed 3-bath</t>
        </is>
      </c>
      <c r="F6" s="46" t="n">
        <v>0</v>
      </c>
    </row>
    <row r="7">
      <c r="A7" s="1" t="inlineStr">
        <is>
          <t>Lot Size (Sqr ft)</t>
        </is>
      </c>
      <c r="B7" t="n">
        <v>0</v>
      </c>
      <c r="E7" t="inlineStr">
        <is>
          <t>Studio</t>
        </is>
      </c>
      <c r="F7" s="46" t="n">
        <v>0</v>
      </c>
    </row>
    <row r="8">
      <c r="A8" s="1" t="inlineStr">
        <is>
          <t>Built in Year</t>
        </is>
      </c>
      <c r="B8" t="n">
        <v>1936</v>
      </c>
      <c r="E8" t="inlineStr">
        <is>
          <t>None</t>
        </is>
      </c>
      <c r="F8" s="46" t="n">
        <v>0</v>
      </c>
    </row>
    <row r="9">
      <c r="A9" s="1" t="inlineStr">
        <is>
          <t>Cost Per Square Foot</t>
        </is>
      </c>
      <c r="B9" s="47">
        <f>B3/B4</f>
        <v/>
      </c>
    </row>
    <row r="10">
      <c r="A10" s="1" t="n"/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- 5%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-B21)</f>
        <v/>
      </c>
      <c r="C23" s="50">
        <f>PMT(C22/12,Assumptions!$B$9*12, -C21)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Assumptions!$B$3*B31</f>
        <v/>
      </c>
      <c r="C32" s="50">
        <f>Assumptions!$B$3*C31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2-bed 1-bath</t>
        </is>
      </c>
      <c r="C39" s="54">
        <f>VLOOKUP(B39,$E$2:$F$8,2,FALSE)</f>
        <v/>
      </c>
    </row>
    <row r="40">
      <c r="A40" s="2" t="inlineStr">
        <is>
          <t>Unit 2</t>
        </is>
      </c>
      <c r="B40" t="inlineStr">
        <is>
          <t>2-bed 1-bath</t>
        </is>
      </c>
      <c r="C40" s="54">
        <f>VLOOKUP(B40,$E$2:$F$8,2,FALSE)</f>
        <v/>
      </c>
    </row>
    <row r="41">
      <c r="A41" s="2" t="inlineStr">
        <is>
          <t>Unit 3</t>
        </is>
      </c>
      <c r="B41" t="inlineStr">
        <is>
          <t>None</t>
        </is>
      </c>
      <c r="C41" s="54">
        <f>VLOOKUP(B41,$E$2:$F$8,2,FALSE)</f>
        <v/>
      </c>
    </row>
    <row r="42">
      <c r="A42" s="2" t="inlineStr">
        <is>
          <t>Unit 4</t>
        </is>
      </c>
      <c r="B42" t="inlineStr">
        <is>
          <t>None</t>
        </is>
      </c>
      <c r="C42" s="54">
        <f>VLOOKUP(B42,$E$2:$F$8,2,FALSE)</f>
        <v/>
      </c>
    </row>
    <row r="43">
      <c r="A43" s="1" t="inlineStr">
        <is>
          <t>Living in Unit…</t>
        </is>
      </c>
      <c r="B43" s="42" t="inlineStr">
        <is>
          <t>Unit 2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 per month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 per month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35">
        <f>B48/$B$3</f>
        <v/>
      </c>
      <c r="C52" s="35">
        <f>C48/$B$3</f>
        <v/>
      </c>
    </row>
    <row r="53">
      <c r="A53" s="27" t="inlineStr">
        <is>
          <t>Capitalization Rate Year 2</t>
        </is>
      </c>
      <c r="B53" s="35">
        <f>B49/$B$3</f>
        <v/>
      </c>
      <c r="C53" s="35">
        <f>C49/$B$3</f>
        <v/>
      </c>
    </row>
    <row r="54">
      <c r="A54" s="27" t="inlineStr">
        <is>
          <t>Cash on Cash Return Year 1</t>
        </is>
      </c>
      <c r="B54" s="35">
        <f>B48/B$35</f>
        <v/>
      </c>
      <c r="C54" s="35">
        <f>C48/C35</f>
        <v/>
      </c>
    </row>
    <row r="55">
      <c r="A55" s="27" t="inlineStr">
        <is>
          <t>Cash on Cash Return Year 2</t>
        </is>
      </c>
      <c r="B55" s="35">
        <f>B49/B$35</f>
        <v/>
      </c>
      <c r="C55" s="35">
        <f>C49/C$35</f>
        <v/>
      </c>
    </row>
    <row r="56">
      <c r="A56" s="27" t="inlineStr">
        <is>
          <t>Gross Rent Multiplier (Year 2)</t>
        </is>
      </c>
      <c r="B56" s="38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conditionalFormatting sqref="B23:C23">
    <cfRule type="cellIs" priority="1" operator="between" dxfId="2">
      <formula>1300</formula>
      <formula>1500</formula>
    </cfRule>
    <cfRule type="cellIs" priority="2" operator="lessThan" dxfId="1">
      <formula>1200</formula>
    </cfRule>
    <cfRule type="cellIs" priority="3" operator="greaterThan" dxfId="0">
      <formula>1500</formula>
    </cfRule>
  </conditionalFormatting>
  <conditionalFormatting sqref="B34:C34">
    <cfRule type="cellIs" priority="9" operator="between" dxfId="2">
      <formula>1800</formula>
      <formula>2200</formula>
    </cfRule>
    <cfRule type="cellIs" priority="15" operator="lessThan" dxfId="1" stopIfTrue="1">
      <formula>1800</formula>
    </cfRule>
    <cfRule type="cellIs" priority="16" operator="greaterThan" dxfId="0" stopIfTrue="1">
      <formula>2200</formula>
    </cfRule>
  </conditionalFormatting>
  <conditionalFormatting sqref="B35:C35">
    <cfRule type="cellIs" priority="8" operator="between" dxfId="2">
      <formula>20000</formula>
      <formula>30000</formula>
    </cfRule>
    <cfRule type="cellIs" priority="13" operator="lessThan" dxfId="1" stopIfTrue="1">
      <formula>20000</formula>
    </cfRule>
    <cfRule type="cellIs" priority="14" operator="greaterThan" dxfId="0" stopIfTrue="1">
      <formula>30000</formula>
    </cfRule>
  </conditionalFormatting>
  <conditionalFormatting sqref="B46:C47">
    <cfRule type="cellIs" priority="7" operator="between" dxfId="2">
      <formula>100</formula>
      <formula>-150</formula>
    </cfRule>
    <cfRule type="cellIs" priority="17" operator="greaterThan" dxfId="1" stopIfTrue="1">
      <formula>100</formula>
    </cfRule>
    <cfRule type="cellIs" priority="18" operator="lessThan" dxfId="0" stopIfTrue="1">
      <formula>-150</formula>
    </cfRule>
  </conditionalFormatting>
  <dataValidations count="2">
    <dataValidation sqref="B39:B42" showDropDown="0" showInputMessage="1" showErrorMessage="1" allowBlank="1" type="list">
      <formula1>$E$2:$E$8</formula1>
    </dataValidation>
    <dataValidation sqref="B43" showDropDown="0" showInputMessage="1" showErrorMessage="1" allowBlank="1" type="list">
      <formula1>$A$39:$A$42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E1" r:id="rId2"/>
  </hyperlinks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F60"/>
  <sheetViews>
    <sheetView zoomScale="137" workbookViewId="0">
      <selection activeCell="B1" sqref="B1:C1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14" customWidth="1" style="39" min="4" max="4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1064 27th St, Des Moines, IA 50311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26" t="n">
        <v>2</v>
      </c>
      <c r="E2" t="inlineStr">
        <is>
          <t>1-bed 1-bath</t>
        </is>
      </c>
      <c r="F2" s="46" t="n">
        <v>0</v>
      </c>
    </row>
    <row r="3">
      <c r="A3" s="1" t="inlineStr">
        <is>
          <t>Purchase Price</t>
        </is>
      </c>
      <c r="B3" s="46" t="n">
        <v>259900</v>
      </c>
      <c r="E3" t="inlineStr">
        <is>
          <t>2-bed 1-bath</t>
        </is>
      </c>
      <c r="F3" s="46" t="n">
        <v>1175</v>
      </c>
    </row>
    <row r="4">
      <c r="A4" s="1" t="inlineStr">
        <is>
          <t>Square Feet</t>
        </is>
      </c>
      <c r="B4" t="n">
        <v>1856</v>
      </c>
      <c r="E4" t="inlineStr">
        <is>
          <t>3-bed 1-bath</t>
        </is>
      </c>
      <c r="F4" s="46" t="n">
        <v>1398</v>
      </c>
    </row>
    <row r="5">
      <c r="A5" s="1" t="inlineStr">
        <is>
          <t>Bedrooms</t>
        </is>
      </c>
      <c r="B5" t="n">
        <v>5</v>
      </c>
      <c r="E5" t="inlineStr">
        <is>
          <t>2-bed 2-bath</t>
        </is>
      </c>
      <c r="F5" s="46" t="n">
        <v>0</v>
      </c>
    </row>
    <row r="6">
      <c r="A6" s="1" t="inlineStr">
        <is>
          <t>Bathrooms</t>
        </is>
      </c>
      <c r="B6" t="n">
        <v>2</v>
      </c>
      <c r="E6" t="inlineStr">
        <is>
          <t>3-bed 3-bath</t>
        </is>
      </c>
      <c r="F6" s="46" t="n">
        <v>0</v>
      </c>
    </row>
    <row r="7">
      <c r="A7" s="1" t="inlineStr">
        <is>
          <t>Lot Size (Sqr ft)</t>
        </is>
      </c>
      <c r="B7" t="n">
        <v>0</v>
      </c>
      <c r="E7" t="inlineStr">
        <is>
          <t>Studio</t>
        </is>
      </c>
      <c r="F7" s="46" t="n">
        <v>0</v>
      </c>
    </row>
    <row r="8">
      <c r="A8" s="1" t="inlineStr">
        <is>
          <t>Built in Year</t>
        </is>
      </c>
      <c r="B8" t="n">
        <v>1900</v>
      </c>
      <c r="E8" t="inlineStr">
        <is>
          <t>None</t>
        </is>
      </c>
      <c r="F8" s="46" t="n">
        <v>0</v>
      </c>
    </row>
    <row r="9">
      <c r="A9" s="1" t="inlineStr">
        <is>
          <t>Cost Per Square Foot</t>
        </is>
      </c>
      <c r="B9" s="47">
        <f>B3/B4</f>
        <v/>
      </c>
    </row>
    <row r="10">
      <c r="A10" s="1" t="n"/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- 5%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-B21)</f>
        <v/>
      </c>
      <c r="C23" s="50">
        <f>PMT(C22/12,Assumptions!$B$9*12, -C21)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Assumptions!$B$3*B31</f>
        <v/>
      </c>
      <c r="C32" s="50">
        <f>Assumptions!$B$3*C31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3-bed 1-bath</t>
        </is>
      </c>
      <c r="C39" s="54">
        <f>VLOOKUP(B39,$E$2:$F$8,2,FALSE)</f>
        <v/>
      </c>
    </row>
    <row r="40">
      <c r="A40" s="2" t="inlineStr">
        <is>
          <t>Unit 2</t>
        </is>
      </c>
      <c r="B40" t="inlineStr">
        <is>
          <t>2-bed 1-bath</t>
        </is>
      </c>
      <c r="C40" s="54">
        <f>VLOOKUP(B40,$E$2:$F$8,2,FALSE)</f>
        <v/>
      </c>
    </row>
    <row r="41">
      <c r="A41" s="2" t="inlineStr">
        <is>
          <t>Unit 3</t>
        </is>
      </c>
      <c r="B41" t="inlineStr">
        <is>
          <t>None</t>
        </is>
      </c>
      <c r="C41" s="54">
        <f>VLOOKUP(B41,$E$2:$F$8,2,FALSE)</f>
        <v/>
      </c>
    </row>
    <row r="42">
      <c r="A42" s="2" t="inlineStr">
        <is>
          <t>Unit 4</t>
        </is>
      </c>
      <c r="B42" t="inlineStr">
        <is>
          <t>None</t>
        </is>
      </c>
      <c r="C42" s="54">
        <f>VLOOKUP(B42,$E$2:$F$8,2,FALSE)</f>
        <v/>
      </c>
    </row>
    <row r="43">
      <c r="A43" s="1" t="inlineStr">
        <is>
          <t>Living in Unit…</t>
        </is>
      </c>
      <c r="B43" s="42" t="inlineStr">
        <is>
          <t>Unit 2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 per month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 per month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35">
        <f>B48/$B$3</f>
        <v/>
      </c>
      <c r="C52" s="35">
        <f>C48/$B$3</f>
        <v/>
      </c>
    </row>
    <row r="53">
      <c r="A53" s="27" t="inlineStr">
        <is>
          <t>Capitalization Rate Year 2</t>
        </is>
      </c>
      <c r="B53" s="35">
        <f>B49/$B$3</f>
        <v/>
      </c>
      <c r="C53" s="35">
        <f>C49/$B$3</f>
        <v/>
      </c>
    </row>
    <row r="54">
      <c r="A54" s="27" t="inlineStr">
        <is>
          <t>Cash on Cash Return Year 1</t>
        </is>
      </c>
      <c r="B54" s="35">
        <f>B48/B$35</f>
        <v/>
      </c>
      <c r="C54" s="35">
        <f>C48/C35</f>
        <v/>
      </c>
    </row>
    <row r="55">
      <c r="A55" s="27" t="inlineStr">
        <is>
          <t>Cash on Cash Return Year 2</t>
        </is>
      </c>
      <c r="B55" s="35">
        <f>B49/B$35</f>
        <v/>
      </c>
      <c r="C55" s="35">
        <f>C49/C$35</f>
        <v/>
      </c>
    </row>
    <row r="56">
      <c r="A56" s="27" t="inlineStr">
        <is>
          <t>Gross Rent Multiplier (Year 2)</t>
        </is>
      </c>
      <c r="B56" s="38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conditionalFormatting sqref="B23:C23">
    <cfRule type="cellIs" priority="4" operator="between" dxfId="2">
      <formula>1300</formula>
      <formula>1500</formula>
    </cfRule>
    <cfRule type="cellIs" priority="5" operator="lessThan" dxfId="1">
      <formula>1200</formula>
    </cfRule>
    <cfRule type="cellIs" priority="6" operator="greaterThan" dxfId="0">
      <formula>1500</formula>
    </cfRule>
  </conditionalFormatting>
  <conditionalFormatting sqref="B34:C34">
    <cfRule type="cellIs" priority="3" operator="between" dxfId="2">
      <formula>1800</formula>
      <formula>2200</formula>
    </cfRule>
    <cfRule type="cellIs" priority="9" operator="lessThan" dxfId="1" stopIfTrue="1">
      <formula>1800</formula>
    </cfRule>
    <cfRule type="cellIs" priority="10" operator="greaterThan" dxfId="0" stopIfTrue="1">
      <formula>2200</formula>
    </cfRule>
  </conditionalFormatting>
  <conditionalFormatting sqref="B35:C35">
    <cfRule type="cellIs" priority="2" operator="between" dxfId="2">
      <formula>20000</formula>
      <formula>30000</formula>
    </cfRule>
    <cfRule type="cellIs" priority="7" operator="lessThan" dxfId="1" stopIfTrue="1">
      <formula>20000</formula>
    </cfRule>
    <cfRule type="cellIs" priority="8" operator="greaterThan" dxfId="0" stopIfTrue="1">
      <formula>30000</formula>
    </cfRule>
  </conditionalFormatting>
  <conditionalFormatting sqref="B46:C47">
    <cfRule type="cellIs" priority="1" operator="between" dxfId="2">
      <formula>100</formula>
      <formula>-150</formula>
    </cfRule>
    <cfRule type="cellIs" priority="11" operator="greaterThan" dxfId="1" stopIfTrue="1">
      <formula>100</formula>
    </cfRule>
    <cfRule type="cellIs" priority="12" operator="lessThan" dxfId="0" stopIfTrue="1">
      <formula>-150</formula>
    </cfRule>
  </conditionalFormatting>
  <dataValidations count="2">
    <dataValidation sqref="B43" showDropDown="0" showInputMessage="1" showErrorMessage="1" allowBlank="1" type="list">
      <formula1>$A$39:$A$42</formula1>
    </dataValidation>
    <dataValidation sqref="B39:B42" showDropDown="0" showInputMessage="1" showErrorMessage="1" allowBlank="1" type="list">
      <formula1>$E$2:$E$8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E1" r:id="rId2"/>
  </hyperlinks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F60"/>
  <sheetViews>
    <sheetView zoomScale="93" zoomScaleNormal="200" workbookViewId="0">
      <selection activeCell="B1" sqref="B1:C1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14" customWidth="1" style="39" min="4" max="4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518 35th St, Des Moines, IA 50312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26" t="n">
        <v>4</v>
      </c>
      <c r="E2" t="inlineStr">
        <is>
          <t>1-bed 1-bath</t>
        </is>
      </c>
      <c r="F2" s="46" t="n">
        <v>840</v>
      </c>
    </row>
    <row r="3">
      <c r="A3" s="1" t="inlineStr">
        <is>
          <t>Purchase Price</t>
        </is>
      </c>
      <c r="B3" s="46" t="n">
        <v>264900</v>
      </c>
      <c r="E3" t="inlineStr">
        <is>
          <t>2-bed 1-bath</t>
        </is>
      </c>
      <c r="F3" s="46" t="n">
        <v>1150</v>
      </c>
    </row>
    <row r="4">
      <c r="A4" s="1" t="inlineStr">
        <is>
          <t>Square Feet</t>
        </is>
      </c>
      <c r="B4" t="n">
        <v>2463</v>
      </c>
      <c r="E4" t="inlineStr">
        <is>
          <t>3-bed 1-bath</t>
        </is>
      </c>
      <c r="F4" s="46" t="n">
        <v>0</v>
      </c>
    </row>
    <row r="5">
      <c r="A5" s="1" t="inlineStr">
        <is>
          <t>Bedrooms</t>
        </is>
      </c>
      <c r="B5" t="n">
        <v>5</v>
      </c>
      <c r="E5" t="inlineStr">
        <is>
          <t>2-bed 2-bath</t>
        </is>
      </c>
      <c r="F5" s="46" t="n">
        <v>0</v>
      </c>
    </row>
    <row r="6">
      <c r="A6" s="1" t="inlineStr">
        <is>
          <t>Bathrooms</t>
        </is>
      </c>
      <c r="B6" t="n">
        <v>4</v>
      </c>
      <c r="E6" t="inlineStr">
        <is>
          <t>3-bed 3-bath</t>
        </is>
      </c>
      <c r="F6" s="46" t="n">
        <v>0</v>
      </c>
    </row>
    <row r="7">
      <c r="A7" s="1" t="inlineStr">
        <is>
          <t>Lot Size (Sqr ft)</t>
        </is>
      </c>
      <c r="E7" t="inlineStr">
        <is>
          <t>Studio</t>
        </is>
      </c>
      <c r="F7" s="46" t="n">
        <v>740</v>
      </c>
    </row>
    <row r="8">
      <c r="A8" s="1" t="inlineStr">
        <is>
          <t>Built in Year</t>
        </is>
      </c>
      <c r="B8" t="n">
        <v>1909</v>
      </c>
    </row>
    <row r="9">
      <c r="A9" s="1" t="inlineStr">
        <is>
          <t>Cost Per Square Foot</t>
        </is>
      </c>
      <c r="B9" s="47">
        <f>B3/B4</f>
        <v/>
      </c>
    </row>
    <row r="10">
      <c r="A10" s="1" t="n"/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- 5%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-'518 35th St'!B21)</f>
        <v/>
      </c>
      <c r="C23" s="50">
        <f>PMT(C22/12,Assumptions!$B$9*12, -'518 35th St'!C21)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Assumptions!$B$3*'518 35th St'!B31</f>
        <v/>
      </c>
      <c r="C32" s="50">
        <f>Assumptions!$B$3*'518 35th St'!C31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Studio</t>
        </is>
      </c>
      <c r="C39" s="54">
        <f>VLOOKUP(B39,$E$2:$F$7,2,FALSE)</f>
        <v/>
      </c>
    </row>
    <row r="40">
      <c r="A40" s="2" t="inlineStr">
        <is>
          <t>Unit 2</t>
        </is>
      </c>
      <c r="B40" t="inlineStr">
        <is>
          <t>1-bed 1-bath</t>
        </is>
      </c>
      <c r="C40" s="54">
        <f>VLOOKUP(B40,$E$2:$F$5,2,FALSE)</f>
        <v/>
      </c>
    </row>
    <row r="41">
      <c r="A41" s="2" t="inlineStr">
        <is>
          <t>Unit 3</t>
        </is>
      </c>
      <c r="B41" t="inlineStr">
        <is>
          <t>2-bed 1-bath</t>
        </is>
      </c>
      <c r="C41" s="54">
        <f>VLOOKUP(B41,$E$2:$F$5,2,FALSE)</f>
        <v/>
      </c>
    </row>
    <row r="42">
      <c r="A42" s="2" t="inlineStr">
        <is>
          <t>Unit 4</t>
        </is>
      </c>
      <c r="B42" t="inlineStr">
        <is>
          <t>2-bed 1-bath</t>
        </is>
      </c>
      <c r="C42" s="54">
        <f>VLOOKUP(B42,$E$2:$F$5,2,FALSE)</f>
        <v/>
      </c>
    </row>
    <row r="43">
      <c r="A43" s="1" t="inlineStr">
        <is>
          <t>Living in Unit…</t>
        </is>
      </c>
      <c r="B43" s="42" t="inlineStr">
        <is>
          <t>Unit 1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 per month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 per month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35">
        <f>B48/$B$3</f>
        <v/>
      </c>
      <c r="C52" s="35">
        <f>C48/$B$3</f>
        <v/>
      </c>
    </row>
    <row r="53">
      <c r="A53" s="27" t="inlineStr">
        <is>
          <t>Capitalization Rate Year 2</t>
        </is>
      </c>
      <c r="B53" s="35">
        <f>B49/$B$3</f>
        <v/>
      </c>
      <c r="C53" s="35">
        <f>C49/$B$3</f>
        <v/>
      </c>
    </row>
    <row r="54">
      <c r="A54" s="27" t="inlineStr">
        <is>
          <t>Cash on Cash Return Year 1</t>
        </is>
      </c>
      <c r="B54" s="35">
        <f>B48/B$35</f>
        <v/>
      </c>
      <c r="C54" s="35">
        <f>C48/C35</f>
        <v/>
      </c>
    </row>
    <row r="55">
      <c r="A55" s="27" t="inlineStr">
        <is>
          <t>Cash on Cash Return Year 2</t>
        </is>
      </c>
      <c r="B55" s="35">
        <f>B49/B$35</f>
        <v/>
      </c>
      <c r="C55" s="35">
        <f>C49/C$35</f>
        <v/>
      </c>
    </row>
    <row r="56">
      <c r="A56" s="27" t="inlineStr">
        <is>
          <t>Gross Rent Multiplier (Year 2)</t>
        </is>
      </c>
      <c r="B56" s="38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conditionalFormatting sqref="B23:C23">
    <cfRule type="cellIs" priority="4" operator="between" dxfId="2">
      <formula>1300</formula>
      <formula>1500</formula>
    </cfRule>
    <cfRule type="cellIs" priority="5" operator="lessThan" dxfId="1">
      <formula>1200</formula>
    </cfRule>
    <cfRule type="cellIs" priority="6" operator="greaterThan" dxfId="0">
      <formula>1500</formula>
    </cfRule>
  </conditionalFormatting>
  <conditionalFormatting sqref="B34:C34">
    <cfRule type="cellIs" priority="3" operator="between" dxfId="2">
      <formula>1800</formula>
      <formula>2200</formula>
    </cfRule>
    <cfRule type="cellIs" priority="9" operator="lessThan" dxfId="1" stopIfTrue="1">
      <formula>1800</formula>
    </cfRule>
    <cfRule type="cellIs" priority="10" operator="greaterThan" dxfId="0" stopIfTrue="1">
      <formula>2200</formula>
    </cfRule>
  </conditionalFormatting>
  <conditionalFormatting sqref="B35:C35">
    <cfRule type="cellIs" priority="2" operator="between" dxfId="2">
      <formula>20000</formula>
      <formula>30000</formula>
    </cfRule>
    <cfRule type="cellIs" priority="7" operator="lessThan" dxfId="1" stopIfTrue="1">
      <formula>20000</formula>
    </cfRule>
    <cfRule type="cellIs" priority="8" operator="greaterThan" dxfId="0" stopIfTrue="1">
      <formula>30000</formula>
    </cfRule>
  </conditionalFormatting>
  <conditionalFormatting sqref="B46:C47">
    <cfRule type="cellIs" priority="1" operator="between" dxfId="2">
      <formula>100</formula>
      <formula>-150</formula>
    </cfRule>
    <cfRule type="cellIs" priority="11" operator="greaterThan" dxfId="1" stopIfTrue="1">
      <formula>100</formula>
    </cfRule>
    <cfRule type="cellIs" priority="12" operator="lessThan" dxfId="0" stopIfTrue="1">
      <formula>-150</formula>
    </cfRule>
  </conditionalFormatting>
  <dataValidations count="2">
    <dataValidation sqref="B39:B42" showDropDown="0" showInputMessage="1" showErrorMessage="1" allowBlank="1" type="list">
      <formula1>$E$2:$E$7</formula1>
    </dataValidation>
    <dataValidation sqref="B43" showDropDown="0" showInputMessage="1" showErrorMessage="1" allowBlank="1" type="list">
      <formula1>$A$39:$A$42</formula1>
    </dataValidation>
  </dataValidations>
  <hyperlinks>
    <hyperlink xmlns:r="http://schemas.openxmlformats.org/officeDocument/2006/relationships" ref="B1" display="1148 36th St, Des Moines, IA 50311" r:id="rId1"/>
    <hyperlink xmlns:r="http://schemas.openxmlformats.org/officeDocument/2006/relationships" ref="E1" r:id="rId2"/>
  </hyperlinks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F60"/>
  <sheetViews>
    <sheetView zoomScale="125" workbookViewId="0">
      <selection activeCell="B8" sqref="B8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1148 36th St, Des Moines, IA 50311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41" t="n">
        <v>4</v>
      </c>
      <c r="E2" t="inlineStr">
        <is>
          <t>1-bed 1-bath</t>
        </is>
      </c>
      <c r="F2" s="46" t="n">
        <v>825</v>
      </c>
    </row>
    <row r="3">
      <c r="A3" s="1" t="inlineStr">
        <is>
          <t>Purchase Price</t>
        </is>
      </c>
      <c r="B3" s="46" t="n">
        <v>355000</v>
      </c>
      <c r="E3" t="inlineStr">
        <is>
          <t>2-bed 1-bath</t>
        </is>
      </c>
      <c r="F3" s="46" t="n">
        <v>925</v>
      </c>
    </row>
    <row r="4">
      <c r="A4" s="1" t="inlineStr">
        <is>
          <t>Square Feet</t>
        </is>
      </c>
      <c r="B4" t="n">
        <v>2509</v>
      </c>
      <c r="E4" t="inlineStr">
        <is>
          <t>3-bed 1-bath</t>
        </is>
      </c>
      <c r="F4" s="46" t="n">
        <v>0</v>
      </c>
    </row>
    <row r="5">
      <c r="A5" s="1" t="inlineStr">
        <is>
          <t>Bedrooms</t>
        </is>
      </c>
      <c r="B5" t="n">
        <v>6</v>
      </c>
      <c r="E5" t="inlineStr">
        <is>
          <t>2-bed 2-bath</t>
        </is>
      </c>
      <c r="F5" s="46" t="n">
        <v>0</v>
      </c>
    </row>
    <row r="6">
      <c r="A6" s="1" t="inlineStr">
        <is>
          <t>Bathrooms</t>
        </is>
      </c>
      <c r="B6" t="n">
        <v>4</v>
      </c>
      <c r="E6" t="inlineStr">
        <is>
          <t>3-bed 3-bath</t>
        </is>
      </c>
      <c r="F6" s="46" t="n">
        <v>0</v>
      </c>
    </row>
    <row r="7">
      <c r="A7" s="1" t="inlineStr">
        <is>
          <t>Lot Size (Sqr ft)</t>
        </is>
      </c>
    </row>
    <row r="8">
      <c r="A8" s="1" t="inlineStr">
        <is>
          <t>Built in Year</t>
        </is>
      </c>
      <c r="B8" t="n">
        <v>1907</v>
      </c>
    </row>
    <row r="9">
      <c r="A9" s="1" t="inlineStr">
        <is>
          <t>Cost Per Square Foot</t>
        </is>
      </c>
      <c r="B9" s="47">
        <f>B3/B4</f>
        <v/>
      </c>
    </row>
    <row r="10">
      <c r="A10" s="1" t="n"/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- 10%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-'1148 36th St'!B21)</f>
        <v/>
      </c>
      <c r="C23" s="50">
        <f>PMT(C22/12,Assumptions!$B$9*12, -'1148 36th St'!C21)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Assumptions!$B$3*'1148 36th St'!B31</f>
        <v/>
      </c>
      <c r="C32" s="50">
        <f>Assumptions!$B$3*'1148 36th St'!C31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1-bed 1-bath</t>
        </is>
      </c>
      <c r="C39" s="54">
        <f>VLOOKUP(B39,$E$2:$F$5,2,FALSE)</f>
        <v/>
      </c>
    </row>
    <row r="40">
      <c r="A40" s="2" t="inlineStr">
        <is>
          <t>Unit 2</t>
        </is>
      </c>
      <c r="B40" t="inlineStr">
        <is>
          <t>1-bed 1-bath</t>
        </is>
      </c>
      <c r="C40" s="54">
        <f>VLOOKUP(B40,$E$2:$F$5,2,FALSE)</f>
        <v/>
      </c>
    </row>
    <row r="41">
      <c r="A41" s="2" t="inlineStr">
        <is>
          <t>Unit 3</t>
        </is>
      </c>
      <c r="B41" t="inlineStr">
        <is>
          <t>2-bed 1-bath</t>
        </is>
      </c>
      <c r="C41" s="54">
        <f>VLOOKUP(B41,$E$2:$F$5,2,FALSE)</f>
        <v/>
      </c>
    </row>
    <row r="42">
      <c r="A42" s="2" t="inlineStr">
        <is>
          <t>Unit 4</t>
        </is>
      </c>
      <c r="B42" t="inlineStr">
        <is>
          <t>2-bed 1-bath</t>
        </is>
      </c>
      <c r="C42" s="54">
        <f>VLOOKUP(B42,$E$2:$F$5,2,FALSE)</f>
        <v/>
      </c>
    </row>
    <row r="43">
      <c r="A43" s="1" t="inlineStr">
        <is>
          <t>Living in Unit…</t>
        </is>
      </c>
      <c r="B43" s="42" t="inlineStr">
        <is>
          <t>Unit 1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7">
        <f>B46/$B$3</f>
        <v/>
      </c>
      <c r="C52" s="7">
        <f>C46/$B$3</f>
        <v/>
      </c>
    </row>
    <row r="53">
      <c r="A53" s="27" t="inlineStr">
        <is>
          <t>Capitalization Rate Year 2</t>
        </is>
      </c>
      <c r="B53" s="7">
        <f>B47/$B$3</f>
        <v/>
      </c>
      <c r="C53" s="7">
        <f>C47/$B$3</f>
        <v/>
      </c>
    </row>
    <row r="54">
      <c r="A54" s="27" t="inlineStr">
        <is>
          <t>Cash on Cash Return Year 1</t>
        </is>
      </c>
      <c r="B54" s="7">
        <f>B46/B$35</f>
        <v/>
      </c>
      <c r="C54" s="7">
        <f>C46/C$35</f>
        <v/>
      </c>
    </row>
    <row r="55">
      <c r="A55" s="27" t="inlineStr">
        <is>
          <t>Cash on Cash Return Year 2</t>
        </is>
      </c>
      <c r="B55" s="7">
        <f>B47/B$35</f>
        <v/>
      </c>
      <c r="C55" s="7">
        <f>C47/C$35</f>
        <v/>
      </c>
    </row>
    <row r="56">
      <c r="A56" s="27" t="inlineStr">
        <is>
          <t>Gross Rent Multiplier (Year 2)</t>
        </is>
      </c>
      <c r="B56" s="55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conditionalFormatting sqref="B23:C23">
    <cfRule type="cellIs" priority="1" operator="lessThan" dxfId="1">
      <formula>1200</formula>
    </cfRule>
    <cfRule type="cellIs" priority="2" operator="greaterThan" dxfId="0">
      <formula>1200</formula>
    </cfRule>
  </conditionalFormatting>
  <conditionalFormatting sqref="B34:C34">
    <cfRule type="cellIs" priority="5" operator="lessThan" dxfId="1">
      <formula>1500</formula>
    </cfRule>
    <cfRule type="cellIs" priority="6" operator="greaterThan" dxfId="0">
      <formula>1500</formula>
    </cfRule>
  </conditionalFormatting>
  <conditionalFormatting sqref="B35:C35">
    <cfRule type="cellIs" priority="3" operator="lessThan" dxfId="1">
      <formula>25000</formula>
    </cfRule>
    <cfRule type="cellIs" priority="4" operator="greaterThan" dxfId="0">
      <formula>25000</formula>
    </cfRule>
  </conditionalFormatting>
  <conditionalFormatting sqref="B46:C47">
    <cfRule type="cellIs" priority="7" operator="greaterThan" dxfId="1">
      <formula>0</formula>
    </cfRule>
    <cfRule type="cellIs" priority="8" operator="lessThan" dxfId="0">
      <formula>0</formula>
    </cfRule>
  </conditionalFormatting>
  <dataValidations count="2">
    <dataValidation sqref="B43" showDropDown="0" showInputMessage="1" showErrorMessage="1" allowBlank="1" type="list">
      <formula1>$A$39:$A$42</formula1>
    </dataValidation>
    <dataValidation sqref="B39:B42" showDropDown="0" showInputMessage="1" showErrorMessage="1" allowBlank="1" type="list">
      <formula1>$E$2:$E$6</formula1>
    </dataValidation>
  </dataValidations>
  <hyperlinks>
    <hyperlink xmlns:r="http://schemas.openxmlformats.org/officeDocument/2006/relationships" ref="B1" r:id="rId1"/>
    <hyperlink xmlns:r="http://schemas.openxmlformats.org/officeDocument/2006/relationships" ref="E1" display="Claude Report Assumptions" r:id="rId2"/>
  </hyperlinks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0"/>
  <sheetViews>
    <sheetView tabSelected="1" topLeftCell="A27" zoomScale="125" workbookViewId="0">
      <selection activeCell="C36" sqref="C36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14" customWidth="1" style="39" min="4" max="4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ADDRESS_HERE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26" t="n">
        <v>0</v>
      </c>
      <c r="E2" t="inlineStr">
        <is>
          <t>1-bed 1-bath</t>
        </is>
      </c>
      <c r="F2" s="46" t="n">
        <v>0</v>
      </c>
    </row>
    <row r="3">
      <c r="A3" s="1" t="inlineStr">
        <is>
          <t>Purchase Price</t>
        </is>
      </c>
      <c r="B3" s="46" t="n">
        <v>0</v>
      </c>
      <c r="E3" t="inlineStr">
        <is>
          <t>2-bed 1-bath</t>
        </is>
      </c>
      <c r="F3" s="46" t="n">
        <v>0</v>
      </c>
    </row>
    <row r="4">
      <c r="A4" s="1" t="inlineStr">
        <is>
          <t>Square Feet</t>
        </is>
      </c>
      <c r="B4" t="n">
        <v>0</v>
      </c>
      <c r="E4" t="inlineStr">
        <is>
          <t>3-bed 1-bath</t>
        </is>
      </c>
      <c r="F4" s="46" t="n">
        <v>0</v>
      </c>
    </row>
    <row r="5">
      <c r="A5" s="1" t="inlineStr">
        <is>
          <t>Bedrooms</t>
        </is>
      </c>
      <c r="B5" t="n">
        <v>0</v>
      </c>
      <c r="E5" t="inlineStr">
        <is>
          <t>2-bed 2-bath</t>
        </is>
      </c>
      <c r="F5" s="46" t="n">
        <v>0</v>
      </c>
    </row>
    <row r="6">
      <c r="A6" s="1" t="inlineStr">
        <is>
          <t>Bathrooms</t>
        </is>
      </c>
      <c r="B6" t="n">
        <v>0</v>
      </c>
      <c r="E6" t="inlineStr">
        <is>
          <t>4-bed 2-bath</t>
        </is>
      </c>
      <c r="F6" s="46" t="n">
        <v>0</v>
      </c>
    </row>
    <row r="7">
      <c r="A7" s="1" t="inlineStr">
        <is>
          <t>Lot Size (Sqr ft)</t>
        </is>
      </c>
      <c r="B7" t="n">
        <v>0</v>
      </c>
      <c r="E7" t="inlineStr">
        <is>
          <t>Studio</t>
        </is>
      </c>
      <c r="F7" s="46" t="n">
        <v>0</v>
      </c>
    </row>
    <row r="8">
      <c r="A8" s="1" t="inlineStr">
        <is>
          <t>Built in Year</t>
        </is>
      </c>
      <c r="B8" t="n">
        <v>0</v>
      </c>
      <c r="E8" t="inlineStr">
        <is>
          <t>None</t>
        </is>
      </c>
      <c r="F8" s="46" t="n">
        <v>0</v>
      </c>
    </row>
    <row r="9">
      <c r="A9" s="1" t="inlineStr">
        <is>
          <t>Cost Per Square Foot</t>
        </is>
      </c>
      <c r="B9" s="47">
        <f>B3/B4</f>
        <v/>
      </c>
      <c r="E9" t="inlineStr">
        <is>
          <t>3-bed 2-bath</t>
        </is>
      </c>
      <c r="F9" s="46" t="n">
        <v>0</v>
      </c>
    </row>
    <row r="10">
      <c r="A10" s="1" t="n"/>
      <c r="E10" t="inlineStr">
        <is>
          <t>3-bed 3-bath</t>
        </is>
      </c>
      <c r="F10" s="46" t="n">
        <v>0</v>
      </c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- 5%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-B21)</f>
        <v/>
      </c>
      <c r="C23" s="50">
        <f>PMT(C22/12,Assumptions!$B$9*12, -C21)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Assumptions!$B$3*B31</f>
        <v/>
      </c>
      <c r="C32" s="50">
        <f>Assumptions!$B$3*C31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None</t>
        </is>
      </c>
      <c r="C39" s="54">
        <f>VLOOKUP(B39,$E$2:$F$10,2,FALSE)</f>
        <v/>
      </c>
    </row>
    <row r="40">
      <c r="A40" s="2" t="inlineStr">
        <is>
          <t>Unit 2</t>
        </is>
      </c>
      <c r="B40" t="inlineStr">
        <is>
          <t>None</t>
        </is>
      </c>
      <c r="C40" s="54">
        <f>VLOOKUP(B40,$E$2:$F$10,2,FALSE)</f>
        <v/>
      </c>
    </row>
    <row r="41">
      <c r="A41" s="2" t="inlineStr">
        <is>
          <t>Unit 3</t>
        </is>
      </c>
      <c r="B41" t="inlineStr">
        <is>
          <t>None</t>
        </is>
      </c>
      <c r="C41" s="54">
        <f>VLOOKUP(B41,$E$2:$F$10,2,FALSE)</f>
        <v/>
      </c>
    </row>
    <row r="42">
      <c r="A42" s="2" t="inlineStr">
        <is>
          <t>Unit 4</t>
        </is>
      </c>
      <c r="B42" t="inlineStr">
        <is>
          <t>None</t>
        </is>
      </c>
      <c r="C42" s="54">
        <f>VLOOKUP(B42,$E$2:$F$10,2,FALSE)</f>
        <v/>
      </c>
    </row>
    <row r="43">
      <c r="A43" s="1" t="inlineStr">
        <is>
          <t>Living in Unit…</t>
        </is>
      </c>
      <c r="B43" s="42" t="inlineStr">
        <is>
          <t>Unit 1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 per month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 per month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35">
        <f>B48/$B$3</f>
        <v/>
      </c>
      <c r="C52" s="35">
        <f>C48/$B$3</f>
        <v/>
      </c>
    </row>
    <row r="53">
      <c r="A53" s="27" t="inlineStr">
        <is>
          <t>Capitalization Rate Year 2</t>
        </is>
      </c>
      <c r="B53" s="35">
        <f>B49/$B$3</f>
        <v/>
      </c>
      <c r="C53" s="35">
        <f>C49/$B$3</f>
        <v/>
      </c>
    </row>
    <row r="54">
      <c r="A54" s="27" t="inlineStr">
        <is>
          <t>Cash on Cash Return Year 1</t>
        </is>
      </c>
      <c r="B54" s="35">
        <f>B48/B$35</f>
        <v/>
      </c>
      <c r="C54" s="35">
        <f>C48/C35</f>
        <v/>
      </c>
    </row>
    <row r="55">
      <c r="A55" s="27" t="inlineStr">
        <is>
          <t>Cash on Cash Return Year 2</t>
        </is>
      </c>
      <c r="B55" s="35">
        <f>B49/B$35</f>
        <v/>
      </c>
      <c r="C55" s="35">
        <f>C49/C$35</f>
        <v/>
      </c>
    </row>
    <row r="56">
      <c r="A56" s="27" t="inlineStr">
        <is>
          <t>Gross Rent Multiplier (Year 2)</t>
        </is>
      </c>
      <c r="B56" s="38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conditionalFormatting sqref="B23:C23">
    <cfRule type="cellIs" priority="4" operator="between" dxfId="2">
      <formula>1300</formula>
      <formula>1500</formula>
    </cfRule>
    <cfRule type="cellIs" priority="5" operator="lessThan" dxfId="1">
      <formula>1200</formula>
    </cfRule>
    <cfRule type="cellIs" priority="6" operator="greaterThan" dxfId="0">
      <formula>1500</formula>
    </cfRule>
  </conditionalFormatting>
  <conditionalFormatting sqref="B34:C34">
    <cfRule type="cellIs" priority="3" operator="between" dxfId="2">
      <formula>1800</formula>
      <formula>2200</formula>
    </cfRule>
    <cfRule type="cellIs" priority="9" operator="lessThan" dxfId="1" stopIfTrue="1">
      <formula>1800</formula>
    </cfRule>
    <cfRule type="cellIs" priority="10" operator="greaterThan" dxfId="0" stopIfTrue="1">
      <formula>2200</formula>
    </cfRule>
  </conditionalFormatting>
  <conditionalFormatting sqref="B35:C35">
    <cfRule type="cellIs" priority="2" operator="between" dxfId="2">
      <formula>20000</formula>
      <formula>30000</formula>
    </cfRule>
    <cfRule type="cellIs" priority="7" operator="lessThan" dxfId="1" stopIfTrue="1">
      <formula>20000</formula>
    </cfRule>
    <cfRule type="cellIs" priority="8" operator="greaterThan" dxfId="0" stopIfTrue="1">
      <formula>30000</formula>
    </cfRule>
  </conditionalFormatting>
  <conditionalFormatting sqref="B46:C47">
    <cfRule type="cellIs" priority="1" operator="between" dxfId="2">
      <formula>100</formula>
      <formula>-150</formula>
    </cfRule>
    <cfRule type="cellIs" priority="11" operator="greaterThan" dxfId="1" stopIfTrue="1">
      <formula>100</formula>
    </cfRule>
    <cfRule type="cellIs" priority="12" operator="lessThan" dxfId="0" stopIfTrue="1">
      <formula>-150</formula>
    </cfRule>
  </conditionalFormatting>
  <dataValidations count="2">
    <dataValidation sqref="B39:B42" showDropDown="0" showInputMessage="1" showErrorMessage="1" allowBlank="1" type="list">
      <formula1>$E$2:$E$10</formula1>
    </dataValidation>
    <dataValidation sqref="B43" showDropDown="0" showInputMessage="1" showErrorMessage="1" allowBlank="1" type="list">
      <formula1>$A$39:$A$42</formula1>
    </dataValidation>
  </dataValidations>
  <hyperlinks>
    <hyperlink xmlns:r="http://schemas.openxmlformats.org/officeDocument/2006/relationships" ref="B1" display="1514 Harrison Ave, Des Moines, IA 50314" r:id="rId1"/>
    <hyperlink xmlns:r="http://schemas.openxmlformats.org/officeDocument/2006/relationships" ref="E1" r:id="rId2"/>
  </hyperlinks>
  <pageMargins left="0.7" right="0.7" top="0.75" bottom="0.75" header="0.3" footer="0.3"/>
  <pageSetup orientation="portrait" horizontalDpi="0" verticalDpi="0"/>
  <headerFooter>
    <oddHeader/>
    <oddFooter>&amp;R&amp;"Aptos"&amp;10 &amp;KFF0000_x000d_# Confidential with Personal Information_x000d_&amp;1#&amp;"Aptos"&amp;10 &amp;KFF0000 Confidential with Personal Information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10" defaultRowHeight="16"/>
  <cols>
    <col width="33.33203125" customWidth="1" style="39" min="1" max="1"/>
    <col width="21.83203125" customWidth="1" style="39" min="2" max="2"/>
    <col width="19.1640625" customWidth="1" style="39" min="3" max="3"/>
    <col width="14" customWidth="1" style="39" min="4" max="4"/>
    <col width="23.83203125" customWidth="1" style="39" min="5" max="5"/>
  </cols>
  <sheetData>
    <row r="1" ht="37" customFormat="1" customHeight="1" s="41">
      <c r="A1" s="8" t="inlineStr">
        <is>
          <t>Property Details</t>
        </is>
      </c>
      <c r="B1" s="40" t="inlineStr">
        <is>
          <t>3900 11th St, Des Moines, IA 50313</t>
        </is>
      </c>
      <c r="E1" s="28" t="inlineStr">
        <is>
          <t>Conservative Claude Report Assumptions</t>
        </is>
      </c>
      <c r="F1" s="3" t="inlineStr">
        <is>
          <t>Per Month</t>
        </is>
      </c>
    </row>
    <row r="2" ht="19" customFormat="1" customHeight="1" s="41">
      <c r="A2" s="25" t="inlineStr">
        <is>
          <t>Multi-unit Type</t>
        </is>
      </c>
      <c r="B2" s="26" t="n">
        <v>3</v>
      </c>
      <c r="E2" t="inlineStr">
        <is>
          <t>1-bed 1-bath</t>
        </is>
      </c>
      <c r="F2" s="46" t="n">
        <v>0</v>
      </c>
    </row>
    <row r="3">
      <c r="A3" s="1" t="inlineStr">
        <is>
          <t>Purchase Price</t>
        </is>
      </c>
      <c r="B3" s="46" t="n">
        <v>225000</v>
      </c>
      <c r="E3" t="inlineStr">
        <is>
          <t>2-bed 1-bath</t>
        </is>
      </c>
      <c r="F3" s="46" t="n">
        <v>0</v>
      </c>
    </row>
    <row r="4">
      <c r="A4" s="1" t="inlineStr">
        <is>
          <t>Square Feet</t>
        </is>
      </c>
      <c r="B4" t="n">
        <v>2851</v>
      </c>
      <c r="E4" t="inlineStr">
        <is>
          <t>3-bed 1-bath</t>
        </is>
      </c>
      <c r="F4" s="46" t="n">
        <v>0</v>
      </c>
    </row>
    <row r="5">
      <c r="A5" s="1" t="inlineStr">
        <is>
          <t>Bedrooms</t>
        </is>
      </c>
      <c r="B5" t="n">
        <v>6</v>
      </c>
      <c r="E5" t="inlineStr">
        <is>
          <t>2-bed 2-bath</t>
        </is>
      </c>
      <c r="F5" s="46" t="n">
        <v>0</v>
      </c>
    </row>
    <row r="6">
      <c r="A6" s="1" t="inlineStr">
        <is>
          <t>Bathrooms</t>
        </is>
      </c>
      <c r="B6" t="n">
        <v>3</v>
      </c>
      <c r="E6" t="inlineStr">
        <is>
          <t>4-bed 2-bath</t>
        </is>
      </c>
      <c r="F6" s="46" t="n">
        <v>0</v>
      </c>
    </row>
    <row r="7">
      <c r="A7" s="1" t="inlineStr">
        <is>
          <t>Lot Size (Sqr ft)</t>
        </is>
      </c>
      <c r="B7" t="n">
        <v>0</v>
      </c>
      <c r="E7" t="inlineStr">
        <is>
          <t>Studio</t>
        </is>
      </c>
      <c r="F7" s="46" t="n">
        <v>0</v>
      </c>
    </row>
    <row r="8">
      <c r="A8" s="1" t="inlineStr">
        <is>
          <t>Built in Year</t>
        </is>
      </c>
      <c r="B8" t="n">
        <v>1909</v>
      </c>
      <c r="E8" t="inlineStr">
        <is>
          <t>None</t>
        </is>
      </c>
      <c r="F8" s="46" t="n">
        <v>0</v>
      </c>
    </row>
    <row r="9">
      <c r="A9" s="1" t="inlineStr">
        <is>
          <t>Cost Per Square Foot</t>
        </is>
      </c>
      <c r="B9" s="47">
        <f>B3/B4</f>
        <v/>
      </c>
      <c r="E9" t="inlineStr">
        <is>
          <t>3-bed 2-bath</t>
        </is>
      </c>
      <c r="F9" s="46" t="n">
        <v>0</v>
      </c>
    </row>
    <row r="10">
      <c r="A10" s="1" t="n"/>
      <c r="E10" t="inlineStr">
        <is>
          <t>3-bed 3-bath</t>
        </is>
      </c>
      <c r="F10" s="46" t="n">
        <v>0</v>
      </c>
    </row>
    <row r="12">
      <c r="A12" s="3" t="inlineStr">
        <is>
          <t>Financials</t>
        </is>
      </c>
    </row>
    <row r="13">
      <c r="A13" s="5" t="inlineStr">
        <is>
          <t>Closing Costs</t>
        </is>
      </c>
      <c r="B13" s="48">
        <f>$B$3*Assumptions!$B$5</f>
        <v/>
      </c>
      <c r="C13" s="48">
        <f>$B$3*Assumptions!$B$5</f>
        <v/>
      </c>
    </row>
    <row r="14">
      <c r="A14" s="5" t="inlineStr">
        <is>
          <t>Rehab Costs (Optional)</t>
        </is>
      </c>
    </row>
    <row r="15">
      <c r="A15" s="4" t="inlineStr">
        <is>
          <t>Mortgage</t>
        </is>
      </c>
    </row>
    <row r="16">
      <c r="A16" s="13" t="inlineStr">
        <is>
          <t>Loan Type</t>
        </is>
      </c>
      <c r="B16" s="16" t="inlineStr">
        <is>
          <t>FHA</t>
        </is>
      </c>
      <c r="C16" s="16" t="inlineStr">
        <is>
          <t>Conventional - 5%</t>
        </is>
      </c>
    </row>
    <row r="17">
      <c r="A17" s="13" t="inlineStr">
        <is>
          <t>Down payment percentage</t>
        </is>
      </c>
      <c r="B17" s="49">
        <f>IF(B16="Conventional - 5%",0.05,0.035)</f>
        <v/>
      </c>
      <c r="C17" s="49">
        <f>IF(C16="Conventional - 5%",0.05,0.035)</f>
        <v/>
      </c>
    </row>
    <row r="18">
      <c r="A18" s="2" t="inlineStr">
        <is>
          <t>Down payment amount</t>
        </is>
      </c>
      <c r="B18" s="48">
        <f>$B$3*B17</f>
        <v/>
      </c>
      <c r="C18" s="48">
        <f>$B$3*C17</f>
        <v/>
      </c>
    </row>
    <row r="19">
      <c r="A19" s="2" t="inlineStr">
        <is>
          <t>Base Loan Amount</t>
        </is>
      </c>
      <c r="B19" s="48">
        <f>$B$3-B18</f>
        <v/>
      </c>
      <c r="C19" s="48">
        <f>$B$3-C18</f>
        <v/>
      </c>
    </row>
    <row r="20">
      <c r="A20" s="2" t="inlineStr">
        <is>
          <t>FHA Fees Rolled into Loan</t>
        </is>
      </c>
      <c r="B20" s="48">
        <f>B3*Assumptions!$B$7</f>
        <v/>
      </c>
      <c r="C20" s="48" t="n">
        <v>0</v>
      </c>
    </row>
    <row r="21">
      <c r="A21" s="2" t="inlineStr">
        <is>
          <t>Final Loan Amount</t>
        </is>
      </c>
      <c r="B21" s="48">
        <f>B19+B20</f>
        <v/>
      </c>
      <c r="C21" s="48">
        <f>C19+C20</f>
        <v/>
      </c>
    </row>
    <row r="22">
      <c r="A22" s="2" t="inlineStr">
        <is>
          <t>Interest Rate</t>
        </is>
      </c>
      <c r="B22" s="14">
        <f>Assumptions!$B$6</f>
        <v/>
      </c>
      <c r="C22" s="14">
        <f>Assumptions!$B$6</f>
        <v/>
      </c>
    </row>
    <row r="23">
      <c r="A23" s="2" t="inlineStr">
        <is>
          <t>Monthly Mortgage Payment</t>
        </is>
      </c>
      <c r="B23" s="50">
        <f>PMT(B22/12,Assumptions!$B$9*12, -B21)</f>
        <v/>
      </c>
      <c r="C23" s="50">
        <f>PMT(C22/12,Assumptions!$B$9*12, -C21)</f>
        <v/>
      </c>
    </row>
    <row r="24">
      <c r="A24" s="2" t="inlineStr">
        <is>
          <t>PMI Annual Cost</t>
        </is>
      </c>
      <c r="B24" s="51">
        <f>B21*Assumptions!$B$8</f>
        <v/>
      </c>
      <c r="C24" s="51">
        <f>C21*Assumptions!$B$8</f>
        <v/>
      </c>
    </row>
    <row r="25">
      <c r="A25" s="17" t="inlineStr">
        <is>
          <t>PMI Monthly Cost</t>
        </is>
      </c>
      <c r="B25" s="51">
        <f>B24/12</f>
        <v/>
      </c>
      <c r="C25" s="51">
        <f>C24/12</f>
        <v/>
      </c>
    </row>
    <row r="26">
      <c r="A26" s="20" t="inlineStr">
        <is>
          <t>Total PMI Cost Over the Whole Loan</t>
        </is>
      </c>
      <c r="B26" s="52">
        <f>B25*12*Assumptions!$B$9</f>
        <v/>
      </c>
      <c r="C26" s="52">
        <f>C25*12*Assumptions!$B$9</f>
        <v/>
      </c>
    </row>
    <row r="27">
      <c r="A27" s="1" t="inlineStr">
        <is>
          <t>Property Tax Percentage</t>
        </is>
      </c>
      <c r="B27" s="48">
        <f>$B$3*Assumptions!$B$2</f>
        <v/>
      </c>
      <c r="C27" s="48">
        <f>$B$3*Assumptions!$B$2</f>
        <v/>
      </c>
    </row>
    <row r="28">
      <c r="A28" s="2" t="inlineStr">
        <is>
          <t>Property Tax Per Month</t>
        </is>
      </c>
      <c r="B28" s="48">
        <f>B27/12</f>
        <v/>
      </c>
      <c r="C28" s="48">
        <f>C27/12</f>
        <v/>
      </c>
    </row>
    <row r="29">
      <c r="A29" s="1" t="inlineStr">
        <is>
          <t>Home Insurance Cost Per Year</t>
        </is>
      </c>
      <c r="B29" s="48">
        <f>$B$3*Assumptions!$B$10</f>
        <v/>
      </c>
      <c r="C29" s="48">
        <f>$B$3*Assumptions!$B$10</f>
        <v/>
      </c>
    </row>
    <row r="30">
      <c r="A30" s="2" t="inlineStr">
        <is>
          <t>Home Insurance Cost Per Month</t>
        </is>
      </c>
      <c r="B30" s="48">
        <f>B29/12</f>
        <v/>
      </c>
      <c r="C30" s="48">
        <f>C29/12</f>
        <v/>
      </c>
    </row>
    <row r="31">
      <c r="A31" s="4" t="inlineStr">
        <is>
          <t>Mortgage + Taxes + Insurance Monthly</t>
        </is>
      </c>
      <c r="B31" s="50">
        <f>B23+B25+B30+B28</f>
        <v/>
      </c>
      <c r="C31" s="50">
        <f>C23+C25+C30+C28</f>
        <v/>
      </c>
    </row>
    <row r="32">
      <c r="A32" s="1" t="inlineStr">
        <is>
          <t>Vacancy Cost Savings Per Month</t>
        </is>
      </c>
      <c r="B32" s="50">
        <f>Assumptions!$B$3*B31</f>
        <v/>
      </c>
      <c r="C32" s="50">
        <f>Assumptions!$B$3*C31</f>
        <v/>
      </c>
    </row>
    <row r="33">
      <c r="A33" s="1" t="inlineStr">
        <is>
          <t>Repair Cost Savings Per Month</t>
        </is>
      </c>
      <c r="B33" s="51">
        <f>B31*Assumptions!$B$4</f>
        <v/>
      </c>
      <c r="C33" s="51">
        <f>C31*Assumptions!$B$4</f>
        <v/>
      </c>
    </row>
    <row r="34">
      <c r="A34" s="24" t="inlineStr">
        <is>
          <t>Total Monthly Cost</t>
        </is>
      </c>
      <c r="B34" s="53">
        <f>SUM(B31:B33)</f>
        <v/>
      </c>
      <c r="C34" s="53">
        <f>SUM(C31:C33)</f>
        <v/>
      </c>
    </row>
    <row r="35">
      <c r="A35" s="24" t="inlineStr">
        <is>
          <t>Total Upfront Cost</t>
        </is>
      </c>
      <c r="B35" s="51">
        <f>SUM(B13,B18)</f>
        <v/>
      </c>
      <c r="C35" s="51">
        <f>SUM(C13,C18)</f>
        <v/>
      </c>
    </row>
    <row r="37">
      <c r="A37" s="3" t="inlineStr">
        <is>
          <t>Cash Flow</t>
        </is>
      </c>
    </row>
    <row r="38">
      <c r="A38" s="5" t="inlineStr">
        <is>
          <t>Unit Configurations (Bed,Bath,Sqrft)</t>
        </is>
      </c>
      <c r="B38" t="inlineStr">
        <is>
          <t>Configuration</t>
        </is>
      </c>
      <c r="C38" t="inlineStr">
        <is>
          <t>Estimated Rent</t>
        </is>
      </c>
    </row>
    <row r="39">
      <c r="A39" s="2" t="inlineStr">
        <is>
          <t>Unit 1</t>
        </is>
      </c>
      <c r="B39" t="inlineStr">
        <is>
          <t>2-beds 1-baths</t>
        </is>
      </c>
      <c r="C39" s="54" t="n">
        <v>1125</v>
      </c>
    </row>
    <row r="40">
      <c r="A40" s="2" t="inlineStr">
        <is>
          <t>Unit 2</t>
        </is>
      </c>
      <c r="B40" t="inlineStr">
        <is>
          <t>2-beds 1-baths</t>
        </is>
      </c>
      <c r="C40" s="54" t="n">
        <v>1125</v>
      </c>
    </row>
    <row r="41">
      <c r="A41" s="2" t="inlineStr">
        <is>
          <t>Unit 3</t>
        </is>
      </c>
      <c r="B41" t="inlineStr">
        <is>
          <t>2-beds 1-baths</t>
        </is>
      </c>
      <c r="C41" s="54" t="n">
        <v>1125</v>
      </c>
    </row>
    <row r="42">
      <c r="A42" s="2" t="inlineStr">
        <is>
          <t>Unit 4</t>
        </is>
      </c>
      <c r="B42" t="inlineStr">
        <is>
          <t>None</t>
        </is>
      </c>
      <c r="C42" s="54">
        <f>VLOOKUP(B42,$E$2:$F$10,2,FALSE)</f>
        <v/>
      </c>
    </row>
    <row r="43">
      <c r="A43" s="1" t="inlineStr">
        <is>
          <t>Living in Unit…</t>
        </is>
      </c>
      <c r="B43" s="42" t="inlineStr">
        <is>
          <t>Unit 1</t>
        </is>
      </c>
    </row>
    <row r="44">
      <c r="A44" s="1" t="inlineStr">
        <is>
          <t>Estimated Total Rent</t>
        </is>
      </c>
      <c r="C44" s="48">
        <f>SUM(C39:C42)</f>
        <v/>
      </c>
    </row>
    <row r="45">
      <c r="A45" s="1" t="inlineStr">
        <is>
          <t>Estimated Total Rent Year 1</t>
        </is>
      </c>
      <c r="C45" s="48">
        <f>C44-VLOOKUP(B43,A39:C42,3,FALSE)</f>
        <v/>
      </c>
    </row>
    <row r="46">
      <c r="A46" s="1" t="inlineStr">
        <is>
          <t>Cashflow Year 1 per month</t>
        </is>
      </c>
      <c r="B46" s="48">
        <f>C45-B34</f>
        <v/>
      </c>
      <c r="C46" s="48">
        <f>C45-C34</f>
        <v/>
      </c>
    </row>
    <row r="47">
      <c r="A47" s="1" t="inlineStr">
        <is>
          <t>Cashflow Year 2-N per month</t>
        </is>
      </c>
      <c r="B47" s="48">
        <f>C44-B34</f>
        <v/>
      </c>
      <c r="C47" s="48">
        <f>C44-C34</f>
        <v/>
      </c>
    </row>
    <row r="48">
      <c r="A48" s="1" t="inlineStr">
        <is>
          <t>Annual Cashflow Year 1</t>
        </is>
      </c>
      <c r="B48" s="48">
        <f>B46*12</f>
        <v/>
      </c>
      <c r="C48" s="48">
        <f>C46*12</f>
        <v/>
      </c>
    </row>
    <row r="49">
      <c r="A49" s="1" t="inlineStr">
        <is>
          <t>Annual Cashflow Year 2-N</t>
        </is>
      </c>
      <c r="B49" s="48">
        <f>B47*12</f>
        <v/>
      </c>
      <c r="C49" s="48">
        <f>C47*12</f>
        <v/>
      </c>
    </row>
    <row r="50">
      <c r="A50" s="27" t="n"/>
    </row>
    <row r="51">
      <c r="A51" s="30" t="inlineStr">
        <is>
          <t>Financial Metrics</t>
        </is>
      </c>
    </row>
    <row r="52">
      <c r="A52" s="27" t="inlineStr">
        <is>
          <t>Capitalization Rate Year 1</t>
        </is>
      </c>
      <c r="B52" s="35">
        <f>B48/$B$3</f>
        <v/>
      </c>
      <c r="C52" s="35">
        <f>C48/$B$3</f>
        <v/>
      </c>
    </row>
    <row r="53">
      <c r="A53" s="27" t="inlineStr">
        <is>
          <t>Capitalization Rate Year 2</t>
        </is>
      </c>
      <c r="B53" s="35">
        <f>B49/$B$3</f>
        <v/>
      </c>
      <c r="C53" s="35">
        <f>C49/$B$3</f>
        <v/>
      </c>
    </row>
    <row r="54">
      <c r="A54" s="27" t="inlineStr">
        <is>
          <t>Cash on Cash Return Year 1</t>
        </is>
      </c>
      <c r="B54" s="35">
        <f>B48/B$35</f>
        <v/>
      </c>
      <c r="C54" s="35">
        <f>C48/C35</f>
        <v/>
      </c>
    </row>
    <row r="55">
      <c r="A55" s="27" t="inlineStr">
        <is>
          <t>Cash on Cash Return Year 2</t>
        </is>
      </c>
      <c r="B55" s="35">
        <f>B49/B$35</f>
        <v/>
      </c>
      <c r="C55" s="35">
        <f>C49/C$35</f>
        <v/>
      </c>
    </row>
    <row r="56">
      <c r="A56" s="27" t="inlineStr">
        <is>
          <t>Gross Rent Multiplier (Year 2)</t>
        </is>
      </c>
      <c r="B56" s="38">
        <f>$B$3/C$44</f>
        <v/>
      </c>
    </row>
    <row r="57">
      <c r="A57" s="27" t="inlineStr">
        <is>
          <t>Return on Equity Year 1</t>
        </is>
      </c>
    </row>
    <row r="58">
      <c r="A58" s="27" t="inlineStr">
        <is>
          <t>Return on Equity Year 2</t>
        </is>
      </c>
    </row>
    <row r="59">
      <c r="A59" s="27" t="inlineStr">
        <is>
          <t>Return on Investment</t>
        </is>
      </c>
    </row>
    <row r="60">
      <c r="A60" s="27" t="inlineStr">
        <is>
          <t>Internal Rate of Return</t>
        </is>
      </c>
    </row>
  </sheetData>
  <mergeCells count="3">
    <mergeCell ref="B56:C56"/>
    <mergeCell ref="B1:C1"/>
    <mergeCell ref="B43:C43"/>
  </mergeCells>
  <hyperlinks>
    <hyperlink xmlns:r="http://schemas.openxmlformats.org/officeDocument/2006/relationships" ref="B1" r:id="rId1"/>
    <hyperlink xmlns:r="http://schemas.openxmlformats.org/officeDocument/2006/relationships" ref="E1" r:id="rId2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Armaan Gupta</dc:creator>
  <dcterms:created xsi:type="dcterms:W3CDTF">2025-10-24T18:13:33Z</dcterms:created>
  <dcterms:modified xsi:type="dcterms:W3CDTF">2025-10-28T21:26:09Z</dcterms:modified>
  <cp:lastModifiedBy>Armaan Gupta</cp:lastModifiedBy>
</cp:coreProperties>
</file>