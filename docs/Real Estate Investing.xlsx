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angupta/Documents/Repositories/propdeals/"/>
    </mc:Choice>
  </mc:AlternateContent>
  <xr:revisionPtr revIDLastSave="0" documentId="13_ncr:1_{04F727D3-708B-1741-AB02-4BAEF1060D32}" xr6:coauthVersionLast="47" xr6:coauthVersionMax="47" xr10:uidLastSave="{00000000-0000-0000-0000-000000000000}"/>
  <bookViews>
    <workbookView xWindow="15180" yWindow="920" windowWidth="14900" windowHeight="18560" firstSheet="5" activeTab="9" xr2:uid="{00000000-000D-0000-FFFF-FFFF00000000}"/>
  </bookViews>
  <sheets>
    <sheet name="Assumptions" sheetId="1" r:id="rId1"/>
    <sheet name="Master" sheetId="2" r:id="rId2"/>
    <sheet name="1514 Harrison Ave" sheetId="3" r:id="rId3"/>
    <sheet name="1175 21st St" sheetId="4" r:id="rId4"/>
    <sheet name="1429 Martin Luther King Jr Pkwy" sheetId="5" r:id="rId5"/>
    <sheet name="1206 39th St" sheetId="6" r:id="rId6"/>
    <sheet name="401 Franklin Ave" sheetId="7" r:id="rId7"/>
    <sheet name="1608 Mondamin Ave" sheetId="8" r:id="rId8"/>
    <sheet name="1064 27th St" sheetId="9" r:id="rId9"/>
    <sheet name="518 35th St" sheetId="10" r:id="rId10"/>
    <sheet name="1148 36th St" sheetId="11" r:id="rId11"/>
    <sheet name="template" sheetId="12" r:id="rId12"/>
    <sheet name="3900 11th S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0" l="1"/>
  <c r="C23" i="10"/>
  <c r="C29" i="10"/>
  <c r="B29" i="10"/>
  <c r="B30" i="10" s="1"/>
  <c r="C45" i="10"/>
  <c r="B56" i="3"/>
  <c r="B55" i="3"/>
  <c r="B54" i="3"/>
  <c r="B52" i="3"/>
  <c r="B33" i="3"/>
  <c r="B32" i="3"/>
  <c r="B27" i="3"/>
  <c r="B29" i="12"/>
  <c r="B27" i="12"/>
  <c r="C42" i="13"/>
  <c r="C44" i="13" s="1"/>
  <c r="B35" i="13"/>
  <c r="C30" i="13"/>
  <c r="B30" i="13"/>
  <c r="C29" i="13"/>
  <c r="B29" i="13"/>
  <c r="C27" i="13"/>
  <c r="C28" i="13" s="1"/>
  <c r="B27" i="13"/>
  <c r="B28" i="13" s="1"/>
  <c r="C22" i="13"/>
  <c r="C23" i="13" s="1"/>
  <c r="C31" i="13" s="1"/>
  <c r="B22" i="13"/>
  <c r="B20" i="13"/>
  <c r="C18" i="13"/>
  <c r="C19" i="13" s="1"/>
  <c r="C21" i="13" s="1"/>
  <c r="C24" i="13" s="1"/>
  <c r="C25" i="13" s="1"/>
  <c r="C26" i="13" s="1"/>
  <c r="B18" i="13"/>
  <c r="B19" i="13" s="1"/>
  <c r="B21" i="13" s="1"/>
  <c r="B24" i="13" s="1"/>
  <c r="B25" i="13" s="1"/>
  <c r="B26" i="13" s="1"/>
  <c r="C17" i="13"/>
  <c r="B17" i="13"/>
  <c r="C13" i="13"/>
  <c r="C35" i="13" s="1"/>
  <c r="B13" i="13"/>
  <c r="B9" i="13"/>
  <c r="C42" i="12"/>
  <c r="C44" i="12" s="1"/>
  <c r="C41" i="12"/>
  <c r="C40" i="12"/>
  <c r="C39" i="12"/>
  <c r="B30" i="12"/>
  <c r="C29" i="12"/>
  <c r="C30" i="12" s="1"/>
  <c r="C27" i="12"/>
  <c r="C28" i="12" s="1"/>
  <c r="B28" i="12"/>
  <c r="C22" i="12"/>
  <c r="B22" i="12"/>
  <c r="B20" i="12"/>
  <c r="B18" i="12"/>
  <c r="B19" i="12" s="1"/>
  <c r="B21" i="12" s="1"/>
  <c r="C17" i="12"/>
  <c r="C18" i="12" s="1"/>
  <c r="C19" i="12" s="1"/>
  <c r="C21" i="12" s="1"/>
  <c r="B17" i="12"/>
  <c r="C13" i="12"/>
  <c r="B13" i="12"/>
  <c r="B35" i="12" s="1"/>
  <c r="B9" i="12"/>
  <c r="C42" i="11"/>
  <c r="C41" i="11"/>
  <c r="C44" i="11" s="1"/>
  <c r="C40" i="11"/>
  <c r="C39" i="11"/>
  <c r="C30" i="11"/>
  <c r="C29" i="11"/>
  <c r="B29" i="11"/>
  <c r="B30" i="11" s="1"/>
  <c r="C27" i="11"/>
  <c r="C28" i="11" s="1"/>
  <c r="B27" i="11"/>
  <c r="B28" i="11" s="1"/>
  <c r="C22" i="11"/>
  <c r="C23" i="11" s="1"/>
  <c r="B22" i="11"/>
  <c r="B20" i="11"/>
  <c r="C17" i="11"/>
  <c r="C18" i="11" s="1"/>
  <c r="C19" i="11" s="1"/>
  <c r="C21" i="11" s="1"/>
  <c r="C24" i="11" s="1"/>
  <c r="C25" i="11" s="1"/>
  <c r="C26" i="11" s="1"/>
  <c r="B17" i="11"/>
  <c r="B18" i="11" s="1"/>
  <c r="B19" i="11" s="1"/>
  <c r="B21" i="11" s="1"/>
  <c r="C13" i="11"/>
  <c r="C35" i="11" s="1"/>
  <c r="B13" i="11"/>
  <c r="B35" i="11" s="1"/>
  <c r="B9" i="11"/>
  <c r="C42" i="10"/>
  <c r="C41" i="10"/>
  <c r="C40" i="10"/>
  <c r="C44" i="10" s="1"/>
  <c r="C39" i="10"/>
  <c r="C30" i="10"/>
  <c r="C28" i="10"/>
  <c r="B28" i="10"/>
  <c r="C27" i="10"/>
  <c r="B27" i="10"/>
  <c r="C22" i="10"/>
  <c r="B22" i="10"/>
  <c r="B20" i="10"/>
  <c r="C17" i="10"/>
  <c r="C18" i="10" s="1"/>
  <c r="C19" i="10" s="1"/>
  <c r="C21" i="10" s="1"/>
  <c r="B17" i="10"/>
  <c r="B18" i="10" s="1"/>
  <c r="B19" i="10" s="1"/>
  <c r="B21" i="10" s="1"/>
  <c r="B24" i="10" s="1"/>
  <c r="B25" i="10" s="1"/>
  <c r="B26" i="10" s="1"/>
  <c r="C13" i="10"/>
  <c r="C35" i="10" s="1"/>
  <c r="B13" i="10"/>
  <c r="B35" i="10" s="1"/>
  <c r="B9" i="10"/>
  <c r="C42" i="9"/>
  <c r="C41" i="9"/>
  <c r="C44" i="9" s="1"/>
  <c r="C40" i="9"/>
  <c r="C39" i="9"/>
  <c r="C29" i="9"/>
  <c r="C30" i="9" s="1"/>
  <c r="B29" i="9"/>
  <c r="B30" i="9" s="1"/>
  <c r="C28" i="9"/>
  <c r="B28" i="9"/>
  <c r="C27" i="9"/>
  <c r="B27" i="9"/>
  <c r="C22" i="9"/>
  <c r="B22" i="9"/>
  <c r="B20" i="9"/>
  <c r="C17" i="9"/>
  <c r="C18" i="9" s="1"/>
  <c r="C19" i="9" s="1"/>
  <c r="C21" i="9" s="1"/>
  <c r="C24" i="9" s="1"/>
  <c r="C25" i="9" s="1"/>
  <c r="C26" i="9" s="1"/>
  <c r="B17" i="9"/>
  <c r="B18" i="9" s="1"/>
  <c r="B19" i="9" s="1"/>
  <c r="B21" i="9" s="1"/>
  <c r="C13" i="9"/>
  <c r="C35" i="9" s="1"/>
  <c r="B13" i="9"/>
  <c r="B35" i="9" s="1"/>
  <c r="B9" i="9"/>
  <c r="C42" i="8"/>
  <c r="C41" i="8"/>
  <c r="C40" i="8"/>
  <c r="C39" i="8"/>
  <c r="C44" i="8" s="1"/>
  <c r="C35" i="8"/>
  <c r="C30" i="8"/>
  <c r="C29" i="8"/>
  <c r="B29" i="8"/>
  <c r="B30" i="8" s="1"/>
  <c r="C28" i="8"/>
  <c r="B28" i="8"/>
  <c r="C27" i="8"/>
  <c r="B27" i="8"/>
  <c r="C24" i="8"/>
  <c r="C25" i="8" s="1"/>
  <c r="C26" i="8" s="1"/>
  <c r="C22" i="8"/>
  <c r="C23" i="8" s="1"/>
  <c r="B22" i="8"/>
  <c r="C21" i="8"/>
  <c r="B20" i="8"/>
  <c r="C19" i="8"/>
  <c r="C18" i="8"/>
  <c r="C17" i="8"/>
  <c r="B17" i="8"/>
  <c r="B18" i="8" s="1"/>
  <c r="B19" i="8" s="1"/>
  <c r="B21" i="8" s="1"/>
  <c r="B24" i="8" s="1"/>
  <c r="B25" i="8" s="1"/>
  <c r="B26" i="8" s="1"/>
  <c r="C13" i="8"/>
  <c r="B13" i="8"/>
  <c r="B9" i="8"/>
  <c r="B56" i="7"/>
  <c r="C44" i="7"/>
  <c r="C42" i="7"/>
  <c r="C41" i="7"/>
  <c r="C40" i="7"/>
  <c r="C39" i="7"/>
  <c r="B35" i="7"/>
  <c r="C30" i="7"/>
  <c r="B30" i="7"/>
  <c r="C29" i="7"/>
  <c r="B29" i="7"/>
  <c r="C28" i="7"/>
  <c r="B28" i="7"/>
  <c r="C27" i="7"/>
  <c r="B27" i="7"/>
  <c r="B24" i="7"/>
  <c r="B25" i="7" s="1"/>
  <c r="B26" i="7" s="1"/>
  <c r="C22" i="7"/>
  <c r="B22" i="7"/>
  <c r="B23" i="7" s="1"/>
  <c r="B31" i="7" s="1"/>
  <c r="B21" i="7"/>
  <c r="B20" i="7"/>
  <c r="C19" i="7"/>
  <c r="C21" i="7" s="1"/>
  <c r="B19" i="7"/>
  <c r="C18" i="7"/>
  <c r="C35" i="7" s="1"/>
  <c r="B18" i="7"/>
  <c r="C17" i="7"/>
  <c r="B17" i="7"/>
  <c r="C13" i="7"/>
  <c r="B13" i="7"/>
  <c r="B9" i="7"/>
  <c r="C42" i="6"/>
  <c r="C41" i="6"/>
  <c r="C40" i="6"/>
  <c r="C44" i="6" s="1"/>
  <c r="C39" i="6"/>
  <c r="C35" i="6"/>
  <c r="B30" i="6"/>
  <c r="C29" i="6"/>
  <c r="C30" i="6" s="1"/>
  <c r="B29" i="6"/>
  <c r="B28" i="6"/>
  <c r="C27" i="6"/>
  <c r="C28" i="6" s="1"/>
  <c r="B27" i="6"/>
  <c r="C22" i="6"/>
  <c r="C23" i="6" s="1"/>
  <c r="C31" i="6" s="1"/>
  <c r="B22" i="6"/>
  <c r="C21" i="6"/>
  <c r="C24" i="6" s="1"/>
  <c r="C25" i="6" s="1"/>
  <c r="C26" i="6" s="1"/>
  <c r="B20" i="6"/>
  <c r="C19" i="6"/>
  <c r="B19" i="6"/>
  <c r="B21" i="6" s="1"/>
  <c r="C18" i="6"/>
  <c r="B18" i="6"/>
  <c r="B35" i="6" s="1"/>
  <c r="C17" i="6"/>
  <c r="B17" i="6"/>
  <c r="C13" i="6"/>
  <c r="B13" i="6"/>
  <c r="B9" i="6"/>
  <c r="C42" i="5"/>
  <c r="C41" i="5"/>
  <c r="C44" i="5" s="1"/>
  <c r="C40" i="5"/>
  <c r="C39" i="5"/>
  <c r="B35" i="5"/>
  <c r="C30" i="5"/>
  <c r="C29" i="5"/>
  <c r="B29" i="5"/>
  <c r="B30" i="5" s="1"/>
  <c r="B28" i="5"/>
  <c r="C27" i="5"/>
  <c r="C28" i="5" s="1"/>
  <c r="B27" i="5"/>
  <c r="C22" i="5"/>
  <c r="B22" i="5"/>
  <c r="B23" i="5" s="1"/>
  <c r="B21" i="5"/>
  <c r="B24" i="5" s="1"/>
  <c r="B25" i="5" s="1"/>
  <c r="B26" i="5" s="1"/>
  <c r="B20" i="5"/>
  <c r="C19" i="5"/>
  <c r="C21" i="5" s="1"/>
  <c r="C24" i="5" s="1"/>
  <c r="C25" i="5" s="1"/>
  <c r="C26" i="5" s="1"/>
  <c r="B19" i="5"/>
  <c r="C18" i="5"/>
  <c r="C35" i="5" s="1"/>
  <c r="B18" i="5"/>
  <c r="C17" i="5"/>
  <c r="B17" i="5"/>
  <c r="C13" i="5"/>
  <c r="B13" i="5"/>
  <c r="B9" i="5"/>
  <c r="C42" i="4"/>
  <c r="C41" i="4"/>
  <c r="C40" i="4"/>
  <c r="C44" i="4" s="1"/>
  <c r="C39" i="4"/>
  <c r="B35" i="4"/>
  <c r="B30" i="4"/>
  <c r="C29" i="4"/>
  <c r="C30" i="4" s="1"/>
  <c r="B29" i="4"/>
  <c r="C28" i="4"/>
  <c r="C27" i="4"/>
  <c r="B27" i="4"/>
  <c r="B28" i="4" s="1"/>
  <c r="C22" i="4"/>
  <c r="B22" i="4"/>
  <c r="B23" i="4" s="1"/>
  <c r="B31" i="4" s="1"/>
  <c r="B20" i="4"/>
  <c r="B19" i="4"/>
  <c r="B21" i="4" s="1"/>
  <c r="B24" i="4" s="1"/>
  <c r="B25" i="4" s="1"/>
  <c r="B26" i="4" s="1"/>
  <c r="C18" i="4"/>
  <c r="C19" i="4" s="1"/>
  <c r="C21" i="4" s="1"/>
  <c r="C24" i="4" s="1"/>
  <c r="C25" i="4" s="1"/>
  <c r="C26" i="4" s="1"/>
  <c r="B18" i="4"/>
  <c r="C17" i="4"/>
  <c r="B17" i="4"/>
  <c r="C13" i="4"/>
  <c r="B13" i="4"/>
  <c r="B9" i="4"/>
  <c r="C42" i="3"/>
  <c r="C41" i="3"/>
  <c r="C40" i="3"/>
  <c r="C39" i="3"/>
  <c r="C44" i="3" s="1"/>
  <c r="C29" i="3"/>
  <c r="C30" i="3" s="1"/>
  <c r="B29" i="3"/>
  <c r="B30" i="3" s="1"/>
  <c r="C28" i="3"/>
  <c r="B28" i="3"/>
  <c r="C27" i="3"/>
  <c r="C22" i="3"/>
  <c r="B22" i="3"/>
  <c r="B20" i="3"/>
  <c r="C19" i="3"/>
  <c r="C21" i="3" s="1"/>
  <c r="C24" i="3" s="1"/>
  <c r="C25" i="3" s="1"/>
  <c r="C26" i="3" s="1"/>
  <c r="C18" i="3"/>
  <c r="B18" i="3"/>
  <c r="B19" i="3" s="1"/>
  <c r="B21" i="3" s="1"/>
  <c r="B24" i="3" s="1"/>
  <c r="B25" i="3" s="1"/>
  <c r="B26" i="3" s="1"/>
  <c r="C17" i="3"/>
  <c r="B17" i="3"/>
  <c r="C13" i="3"/>
  <c r="C35" i="3" s="1"/>
  <c r="B13" i="3"/>
  <c r="B9" i="3"/>
  <c r="B8" i="1"/>
  <c r="B4" i="1"/>
  <c r="B3" i="1"/>
  <c r="C10" i="2" a="1"/>
  <c r="D9" i="2" a="1"/>
  <c r="E8" i="2" a="1"/>
  <c r="F7" i="2" a="1"/>
  <c r="C2" i="2" a="1"/>
  <c r="B10" i="2" a="1"/>
  <c r="C9" i="2" a="1"/>
  <c r="D8" i="2" a="1"/>
  <c r="F6" i="2" a="1"/>
  <c r="G5" i="2" a="1"/>
  <c r="C8" i="2" a="1"/>
  <c r="D7" i="2" a="1"/>
  <c r="E6" i="2" a="1"/>
  <c r="F5" i="2" a="1"/>
  <c r="E7" i="2" a="1"/>
  <c r="H4" i="2" a="1"/>
  <c r="B2" i="2" a="1"/>
  <c r="B9" i="2" a="1"/>
  <c r="H9" i="2" a="1"/>
  <c r="B7" i="2" a="1"/>
  <c r="C6" i="2" a="1"/>
  <c r="D5" i="2" a="1"/>
  <c r="E4" i="2" a="1"/>
  <c r="F3" i="2" a="1"/>
  <c r="G2" i="2" a="1"/>
  <c r="F10" i="2" a="1"/>
  <c r="G9" i="2" a="1"/>
  <c r="H8" i="2" a="1"/>
  <c r="B6" i="2" a="1"/>
  <c r="C5" i="2" a="1"/>
  <c r="D4" i="2" a="1"/>
  <c r="E3" i="2" a="1"/>
  <c r="F2" i="2" a="1"/>
  <c r="E10" i="2" a="1"/>
  <c r="F9" i="2" a="1"/>
  <c r="G8" i="2" a="1"/>
  <c r="H7" i="2" a="1"/>
  <c r="B5" i="2" a="1"/>
  <c r="C4" i="2" a="1"/>
  <c r="D3" i="2" a="1"/>
  <c r="E2" i="2" a="1"/>
  <c r="D10" i="2" a="1"/>
  <c r="E9" i="2" a="1"/>
  <c r="F8" i="2" a="1"/>
  <c r="G7" i="2" a="1"/>
  <c r="H6" i="2" a="1"/>
  <c r="B4" i="2" a="1"/>
  <c r="C3" i="2" a="1"/>
  <c r="D2" i="2" a="1"/>
  <c r="G6" i="2" a="1"/>
  <c r="H5" i="2" a="1"/>
  <c r="B3" i="2" a="1"/>
  <c r="B8" i="2" a="1"/>
  <c r="E5" i="2" a="1"/>
  <c r="H10" i="2" a="1"/>
  <c r="H2" i="2" a="1"/>
  <c r="C7" i="2" a="1"/>
  <c r="F4" i="2" a="1"/>
  <c r="G3" i="2" a="1"/>
  <c r="D6" i="2" a="1"/>
  <c r="D6" i="2" l="1"/>
  <c r="G3" i="2"/>
  <c r="F4" i="2"/>
  <c r="C7" i="2"/>
  <c r="H2" i="2"/>
  <c r="H10" i="2"/>
  <c r="E5" i="2"/>
  <c r="B8" i="2"/>
  <c r="B3" i="2"/>
  <c r="H5" i="2"/>
  <c r="G6" i="2"/>
  <c r="D2" i="2"/>
  <c r="C3" i="2"/>
  <c r="B4" i="2"/>
  <c r="H6" i="2"/>
  <c r="G7" i="2"/>
  <c r="F8" i="2"/>
  <c r="E9" i="2"/>
  <c r="D10" i="2"/>
  <c r="E2" i="2"/>
  <c r="D3" i="2"/>
  <c r="C4" i="2"/>
  <c r="B5" i="2"/>
  <c r="H7" i="2"/>
  <c r="G8" i="2"/>
  <c r="F9" i="2"/>
  <c r="E10" i="2"/>
  <c r="F2" i="2"/>
  <c r="E3" i="2"/>
  <c r="D4" i="2"/>
  <c r="C5" i="2"/>
  <c r="B6" i="2"/>
  <c r="H8" i="2"/>
  <c r="G9" i="2"/>
  <c r="F10" i="2"/>
  <c r="G2" i="2"/>
  <c r="F3" i="2"/>
  <c r="E4" i="2"/>
  <c r="D5" i="2"/>
  <c r="C6" i="2"/>
  <c r="B7" i="2"/>
  <c r="H9" i="2"/>
  <c r="B9" i="2"/>
  <c r="B2" i="2"/>
  <c r="H4" i="2"/>
  <c r="E7" i="2"/>
  <c r="F5" i="2"/>
  <c r="E6" i="2"/>
  <c r="D7" i="2"/>
  <c r="C8" i="2"/>
  <c r="G5" i="2"/>
  <c r="F6" i="2"/>
  <c r="D8" i="2"/>
  <c r="C9" i="2"/>
  <c r="B10" i="2"/>
  <c r="C2" i="2"/>
  <c r="F7" i="2"/>
  <c r="E8" i="2"/>
  <c r="D9" i="2"/>
  <c r="C10" i="2"/>
  <c r="B24" i="12"/>
  <c r="B25" i="12" s="1"/>
  <c r="B26" i="12" s="1"/>
  <c r="B23" i="12"/>
  <c r="B31" i="12" s="1"/>
  <c r="B32" i="12" s="1"/>
  <c r="C31" i="11"/>
  <c r="B56" i="8"/>
  <c r="C45" i="8"/>
  <c r="B33" i="4"/>
  <c r="B34" i="4"/>
  <c r="C45" i="3"/>
  <c r="C33" i="6"/>
  <c r="C34" i="6" s="1"/>
  <c r="C23" i="4"/>
  <c r="C31" i="4" s="1"/>
  <c r="C32" i="4" s="1"/>
  <c r="C32" i="5"/>
  <c r="B32" i="4"/>
  <c r="C32" i="6"/>
  <c r="B32" i="7"/>
  <c r="C32" i="9"/>
  <c r="C32" i="13"/>
  <c r="C34" i="13" s="1"/>
  <c r="C47" i="13" s="1"/>
  <c r="C49" i="13" s="1"/>
  <c r="B32" i="13"/>
  <c r="B56" i="9"/>
  <c r="C45" i="9"/>
  <c r="B23" i="13"/>
  <c r="B31" i="13" s="1"/>
  <c r="B24" i="6"/>
  <c r="B25" i="6" s="1"/>
  <c r="B26" i="6" s="1"/>
  <c r="B23" i="6"/>
  <c r="C33" i="13"/>
  <c r="B56" i="10"/>
  <c r="C23" i="7"/>
  <c r="C31" i="7" s="1"/>
  <c r="C24" i="7"/>
  <c r="C25" i="7" s="1"/>
  <c r="C26" i="7" s="1"/>
  <c r="C24" i="12"/>
  <c r="C25" i="12" s="1"/>
  <c r="C26" i="12" s="1"/>
  <c r="C23" i="12"/>
  <c r="B56" i="5"/>
  <c r="C45" i="5"/>
  <c r="B23" i="8"/>
  <c r="B31" i="8" s="1"/>
  <c r="C31" i="8"/>
  <c r="B31" i="5"/>
  <c r="B34" i="7"/>
  <c r="B33" i="7"/>
  <c r="C24" i="10"/>
  <c r="C25" i="10" s="1"/>
  <c r="C26" i="10" s="1"/>
  <c r="C31" i="10"/>
  <c r="B24" i="9"/>
  <c r="B25" i="9" s="1"/>
  <c r="B26" i="9" s="1"/>
  <c r="B23" i="9"/>
  <c r="C23" i="5"/>
  <c r="C31" i="5" s="1"/>
  <c r="C23" i="9"/>
  <c r="C31" i="9" s="1"/>
  <c r="B56" i="12"/>
  <c r="C45" i="12"/>
  <c r="B56" i="11"/>
  <c r="C45" i="11"/>
  <c r="B31" i="10"/>
  <c r="B24" i="11"/>
  <c r="B25" i="11" s="1"/>
  <c r="B26" i="11" s="1"/>
  <c r="B23" i="11"/>
  <c r="B31" i="11" s="1"/>
  <c r="B32" i="11" s="1"/>
  <c r="C35" i="12"/>
  <c r="B23" i="3"/>
  <c r="B31" i="3" s="1"/>
  <c r="C23" i="3"/>
  <c r="C31" i="3" s="1"/>
  <c r="C32" i="3" s="1"/>
  <c r="B56" i="4"/>
  <c r="C45" i="4"/>
  <c r="C45" i="6"/>
  <c r="B56" i="6"/>
  <c r="B35" i="8"/>
  <c r="B56" i="13"/>
  <c r="C45" i="13"/>
  <c r="B35" i="3"/>
  <c r="C35" i="4"/>
  <c r="C45" i="7"/>
  <c r="B47" i="7"/>
  <c r="M7" i="2" a="1"/>
  <c r="I3" i="2" a="1"/>
  <c r="G10" i="2" a="1"/>
  <c r="I7" i="2" a="1"/>
  <c r="G4" i="2" a="1"/>
  <c r="H3" i="2" a="1"/>
  <c r="J9" i="2" a="1"/>
  <c r="B32" i="10" l="1"/>
  <c r="J9" i="2"/>
  <c r="H3" i="2"/>
  <c r="G4" i="2"/>
  <c r="I7" i="2"/>
  <c r="G10" i="2"/>
  <c r="I3" i="2"/>
  <c r="M7" i="2"/>
  <c r="C47" i="6"/>
  <c r="C55" i="13"/>
  <c r="C53" i="13"/>
  <c r="C33" i="11"/>
  <c r="C34" i="11"/>
  <c r="C33" i="10"/>
  <c r="C34" i="10" s="1"/>
  <c r="B33" i="12"/>
  <c r="B34" i="12" s="1"/>
  <c r="B47" i="12" s="1"/>
  <c r="B49" i="12" s="1"/>
  <c r="C33" i="4"/>
  <c r="C34" i="4" s="1"/>
  <c r="B33" i="11"/>
  <c r="B34" i="11" s="1"/>
  <c r="C46" i="13"/>
  <c r="C48" i="13" s="1"/>
  <c r="B33" i="10"/>
  <c r="B33" i="5"/>
  <c r="C32" i="11"/>
  <c r="C34" i="8"/>
  <c r="C33" i="8"/>
  <c r="B31" i="6"/>
  <c r="C46" i="6"/>
  <c r="B33" i="8"/>
  <c r="C32" i="10"/>
  <c r="B34" i="13"/>
  <c r="B47" i="13" s="1"/>
  <c r="B49" i="13" s="1"/>
  <c r="B33" i="13"/>
  <c r="B34" i="3"/>
  <c r="C34" i="7"/>
  <c r="C33" i="7"/>
  <c r="C32" i="8"/>
  <c r="C46" i="9"/>
  <c r="C32" i="7"/>
  <c r="B49" i="7"/>
  <c r="B46" i="4"/>
  <c r="B47" i="4"/>
  <c r="C34" i="9"/>
  <c r="C33" i="9"/>
  <c r="C31" i="12"/>
  <c r="B32" i="5"/>
  <c r="B34" i="5" s="1"/>
  <c r="C46" i="8"/>
  <c r="C33" i="5"/>
  <c r="C34" i="5" s="1"/>
  <c r="B46" i="7"/>
  <c r="C33" i="3"/>
  <c r="C34" i="3" s="1"/>
  <c r="B31" i="9"/>
  <c r="B32" i="8"/>
  <c r="B34" i="8" s="1"/>
  <c r="L10" i="2" a="1"/>
  <c r="K7" i="2" a="1"/>
  <c r="L9" i="2" a="1"/>
  <c r="N9" i="2" a="1"/>
  <c r="L8" i="2" a="1"/>
  <c r="M3" i="2" a="1"/>
  <c r="J7" i="2" a="1"/>
  <c r="J8" i="2" a="1"/>
  <c r="K3" i="2" a="1"/>
  <c r="J10" i="2" a="1"/>
  <c r="J5" i="2" a="1"/>
  <c r="I5" i="2" a="1"/>
  <c r="I10" i="2" a="1"/>
  <c r="I6" i="2" a="1"/>
  <c r="J6" i="2" a="1"/>
  <c r="I4" i="2" a="1"/>
  <c r="J3" i="2" a="1"/>
  <c r="J4" i="2" a="1"/>
  <c r="J2" i="2" a="1"/>
  <c r="B34" i="10" l="1"/>
  <c r="J2" i="2"/>
  <c r="J4" i="2"/>
  <c r="J3" i="2"/>
  <c r="I4" i="2"/>
  <c r="J6" i="2"/>
  <c r="I6" i="2"/>
  <c r="I10" i="2"/>
  <c r="I5" i="2"/>
  <c r="J5" i="2"/>
  <c r="J10" i="2"/>
  <c r="K3" i="2"/>
  <c r="J8" i="2"/>
  <c r="J7" i="2"/>
  <c r="M3" i="2"/>
  <c r="L8" i="2"/>
  <c r="N9" i="2"/>
  <c r="L9" i="2"/>
  <c r="K7" i="2"/>
  <c r="L10" i="2"/>
  <c r="C47" i="10"/>
  <c r="C46" i="10"/>
  <c r="C47" i="3"/>
  <c r="C46" i="3"/>
  <c r="C47" i="4"/>
  <c r="C46" i="4"/>
  <c r="B47" i="3"/>
  <c r="B46" i="3"/>
  <c r="C47" i="5"/>
  <c r="C46" i="5"/>
  <c r="B47" i="5"/>
  <c r="B46" i="5"/>
  <c r="B47" i="8"/>
  <c r="B46" i="8"/>
  <c r="B47" i="11"/>
  <c r="B46" i="11"/>
  <c r="B53" i="12"/>
  <c r="B55" i="12"/>
  <c r="C47" i="11"/>
  <c r="C47" i="8"/>
  <c r="B48" i="4"/>
  <c r="B33" i="9"/>
  <c r="B32" i="9"/>
  <c r="B34" i="9" s="1"/>
  <c r="C46" i="11"/>
  <c r="C47" i="9"/>
  <c r="C47" i="7"/>
  <c r="C33" i="12"/>
  <c r="C32" i="12"/>
  <c r="C34" i="12" s="1"/>
  <c r="B49" i="4"/>
  <c r="C54" i="13"/>
  <c r="C52" i="13"/>
  <c r="C48" i="9"/>
  <c r="B55" i="13"/>
  <c r="B53" i="13"/>
  <c r="B47" i="10"/>
  <c r="B46" i="12"/>
  <c r="B48" i="12" s="1"/>
  <c r="C49" i="6"/>
  <c r="B46" i="13"/>
  <c r="B48" i="13" s="1"/>
  <c r="B55" i="7"/>
  <c r="B53" i="7"/>
  <c r="C48" i="6"/>
  <c r="B48" i="7"/>
  <c r="C46" i="7"/>
  <c r="B33" i="6"/>
  <c r="B32" i="6"/>
  <c r="B34" i="6" s="1"/>
  <c r="C48" i="8"/>
  <c r="I2" i="2" a="1"/>
  <c r="M6" i="2" a="1"/>
  <c r="N7" i="2" a="1"/>
  <c r="K6" i="2" a="1"/>
  <c r="N6" i="2" a="1"/>
  <c r="O7" i="2" a="1"/>
  <c r="M10" i="2" a="1"/>
  <c r="L7" i="2" a="1"/>
  <c r="K5" i="2" a="1"/>
  <c r="L2" i="2" a="1"/>
  <c r="K10" i="2" a="1"/>
  <c r="M5" i="2" a="1"/>
  <c r="N2" i="2" a="1"/>
  <c r="N10" i="2" a="1"/>
  <c r="L3" i="2" a="1"/>
  <c r="L5" i="2" a="1"/>
  <c r="N4" i="2" a="1"/>
  <c r="L4" i="2" a="1"/>
  <c r="M4" i="2" a="1"/>
  <c r="N5" i="2" a="1"/>
  <c r="M2" i="2" a="1"/>
  <c r="N3" i="2" a="1"/>
  <c r="K4" i="2" a="1"/>
  <c r="L6" i="2" a="1"/>
  <c r="N8" i="2" a="1"/>
  <c r="I8" i="2" a="1"/>
  <c r="I9" i="2" a="1"/>
  <c r="I2" i="2" l="1"/>
  <c r="B46" i="10"/>
  <c r="I9" i="2"/>
  <c r="I8" i="2"/>
  <c r="N8" i="2"/>
  <c r="L6" i="2"/>
  <c r="K4" i="2"/>
  <c r="N3" i="2"/>
  <c r="M2" i="2"/>
  <c r="N5" i="2"/>
  <c r="M4" i="2"/>
  <c r="L4" i="2"/>
  <c r="N4" i="2"/>
  <c r="L5" i="2"/>
  <c r="L3" i="2"/>
  <c r="N10" i="2"/>
  <c r="N2" i="2"/>
  <c r="M5" i="2"/>
  <c r="K10" i="2"/>
  <c r="L2" i="2"/>
  <c r="K5" i="2"/>
  <c r="L7" i="2"/>
  <c r="M10" i="2"/>
  <c r="O7" i="2"/>
  <c r="N6" i="2"/>
  <c r="K6" i="2"/>
  <c r="N7" i="2"/>
  <c r="M6" i="2"/>
  <c r="B47" i="6"/>
  <c r="B46" i="6"/>
  <c r="B47" i="9"/>
  <c r="B46" i="9"/>
  <c r="C47" i="12"/>
  <c r="C49" i="12" s="1"/>
  <c r="C46" i="12"/>
  <c r="C48" i="12" s="1"/>
  <c r="C49" i="9"/>
  <c r="C48" i="5"/>
  <c r="B48" i="3"/>
  <c r="C55" i="6"/>
  <c r="C53" i="6"/>
  <c r="B54" i="13"/>
  <c r="B52" i="13"/>
  <c r="B54" i="12"/>
  <c r="B52" i="12"/>
  <c r="C49" i="4"/>
  <c r="B49" i="10"/>
  <c r="C53" i="11"/>
  <c r="C49" i="11"/>
  <c r="C55" i="11"/>
  <c r="B49" i="3"/>
  <c r="C48" i="3"/>
  <c r="C52" i="9"/>
  <c r="C54" i="9"/>
  <c r="C49" i="3"/>
  <c r="C52" i="11"/>
  <c r="C48" i="11"/>
  <c r="C54" i="11"/>
  <c r="C48" i="4"/>
  <c r="C49" i="8"/>
  <c r="C49" i="10"/>
  <c r="B53" i="11"/>
  <c r="B49" i="11"/>
  <c r="B55" i="11"/>
  <c r="B48" i="8"/>
  <c r="C54" i="8"/>
  <c r="C52" i="8"/>
  <c r="C48" i="10"/>
  <c r="B52" i="11"/>
  <c r="B48" i="11"/>
  <c r="B54" i="11"/>
  <c r="B55" i="4"/>
  <c r="B53" i="4"/>
  <c r="C48" i="7"/>
  <c r="B49" i="8"/>
  <c r="C49" i="5"/>
  <c r="B54" i="7"/>
  <c r="B52" i="7"/>
  <c r="B48" i="5"/>
  <c r="B54" i="4"/>
  <c r="B52" i="4"/>
  <c r="C54" i="6"/>
  <c r="C52" i="6"/>
  <c r="C49" i="7"/>
  <c r="B49" i="5"/>
  <c r="K2" i="2" a="1"/>
  <c r="R8" i="2" a="1"/>
  <c r="R9" i="2" a="1"/>
  <c r="P9" i="2" a="1"/>
  <c r="Q5" i="2" a="1"/>
  <c r="O3" i="2" a="1"/>
  <c r="R5" i="2" a="1"/>
  <c r="Q7" i="2" a="1"/>
  <c r="K9" i="2" a="1"/>
  <c r="O5" i="2" a="1"/>
  <c r="K8" i="2" a="1"/>
  <c r="P5" i="2" a="1"/>
  <c r="Q3" i="2" a="1"/>
  <c r="R10" i="2" a="1"/>
  <c r="M9" i="2" a="1"/>
  <c r="M8" i="2" a="1"/>
  <c r="K2" i="2" l="1"/>
  <c r="B48" i="10"/>
  <c r="M8" i="2"/>
  <c r="M9" i="2"/>
  <c r="R10" i="2"/>
  <c r="Q3" i="2"/>
  <c r="P5" i="2"/>
  <c r="K8" i="2"/>
  <c r="O5" i="2"/>
  <c r="K9" i="2"/>
  <c r="Q7" i="2"/>
  <c r="R5" i="2"/>
  <c r="O3" i="2"/>
  <c r="Q5" i="2"/>
  <c r="P9" i="2"/>
  <c r="R9" i="2"/>
  <c r="R8" i="2"/>
  <c r="C53" i="12"/>
  <c r="C55" i="12"/>
  <c r="B53" i="10"/>
  <c r="B55" i="10"/>
  <c r="B49" i="9"/>
  <c r="B49" i="6"/>
  <c r="B52" i="8"/>
  <c r="B54" i="8"/>
  <c r="B48" i="9"/>
  <c r="B54" i="5"/>
  <c r="B52" i="5"/>
  <c r="B55" i="8"/>
  <c r="B53" i="8"/>
  <c r="C54" i="4"/>
  <c r="C52" i="4"/>
  <c r="C54" i="7"/>
  <c r="C52" i="7"/>
  <c r="B48" i="6"/>
  <c r="C55" i="10"/>
  <c r="C53" i="10"/>
  <c r="C55" i="4"/>
  <c r="C53" i="4"/>
  <c r="C55" i="3"/>
  <c r="C53" i="3"/>
  <c r="C52" i="12"/>
  <c r="C54" i="12"/>
  <c r="C55" i="5"/>
  <c r="C53" i="5"/>
  <c r="C55" i="8"/>
  <c r="C53" i="8"/>
  <c r="B55" i="5"/>
  <c r="B53" i="5"/>
  <c r="C55" i="7"/>
  <c r="C53" i="7"/>
  <c r="C52" i="3"/>
  <c r="C54" i="3"/>
  <c r="C54" i="5"/>
  <c r="C52" i="5"/>
  <c r="C52" i="10"/>
  <c r="C54" i="10"/>
  <c r="B53" i="3"/>
  <c r="C55" i="9"/>
  <c r="C53" i="9"/>
  <c r="Q4" i="2" a="1"/>
  <c r="R3" i="2" a="1"/>
  <c r="P8" i="2" a="1"/>
  <c r="P2" i="2" a="1"/>
  <c r="P7" i="2" a="1"/>
  <c r="O2" i="2" a="1"/>
  <c r="P3" i="2" a="1"/>
  <c r="R4" i="2" a="1"/>
  <c r="R6" i="2" a="1"/>
  <c r="Q10" i="2" a="1"/>
  <c r="P4" i="2" a="1"/>
  <c r="Q6" i="2" a="1"/>
  <c r="R2" i="2" a="1"/>
  <c r="P6" i="2" a="1"/>
  <c r="R7" i="2" a="1"/>
  <c r="O6" i="2" a="1"/>
  <c r="O10" i="2" a="1"/>
  <c r="P10" i="2" a="1"/>
  <c r="O4" i="2" a="1"/>
  <c r="B52" i="10" l="1"/>
  <c r="B54" i="10"/>
  <c r="O4" i="2"/>
  <c r="P10" i="2"/>
  <c r="O10" i="2"/>
  <c r="O6" i="2"/>
  <c r="R7" i="2"/>
  <c r="P6" i="2"/>
  <c r="R2" i="2"/>
  <c r="Q6" i="2"/>
  <c r="P4" i="2"/>
  <c r="Q10" i="2"/>
  <c r="R6" i="2"/>
  <c r="R4" i="2"/>
  <c r="P3" i="2"/>
  <c r="O2" i="2"/>
  <c r="P7" i="2"/>
  <c r="P2" i="2"/>
  <c r="P8" i="2"/>
  <c r="R3" i="2"/>
  <c r="Q4" i="2"/>
  <c r="B52" i="9"/>
  <c r="B54" i="9"/>
  <c r="B55" i="6"/>
  <c r="B53" i="6"/>
  <c r="B55" i="9"/>
  <c r="B53" i="9"/>
  <c r="B54" i="6"/>
  <c r="B52" i="6"/>
  <c r="Q2" i="2" a="1"/>
  <c r="Q9" i="2" a="1"/>
  <c r="Q8" i="2" a="1"/>
  <c r="O8" i="2" a="1"/>
  <c r="O9" i="2" a="1"/>
  <c r="Q2" i="2" l="1"/>
  <c r="O9" i="2"/>
  <c r="O8" i="2"/>
  <c r="Q8" i="2"/>
  <c r="Q9" i="2"/>
</calcChain>
</file>

<file path=xl/sharedStrings.xml><?xml version="1.0" encoding="utf-8"?>
<sst xmlns="http://schemas.openxmlformats.org/spreadsheetml/2006/main" count="870" uniqueCount="126">
  <si>
    <t>Assumption</t>
  </si>
  <si>
    <t>Value</t>
  </si>
  <si>
    <t>Loan Types</t>
  </si>
  <si>
    <t>Down Payment Percentage</t>
  </si>
  <si>
    <t>Des Moines Property Tax Rate</t>
  </si>
  <si>
    <t>FHA</t>
  </si>
  <si>
    <t>Vacancy Rate</t>
  </si>
  <si>
    <t>Conventional - 5%</t>
  </si>
  <si>
    <t>Repair Cost Savings Rate</t>
  </si>
  <si>
    <t>Closing Costs Rate</t>
  </si>
  <si>
    <t>Interest Rate</t>
  </si>
  <si>
    <t>FHA Upfront MIP</t>
  </si>
  <si>
    <t>Annual MIP</t>
  </si>
  <si>
    <t>Loan Length in Years</t>
  </si>
  <si>
    <t>Property Tax Rate</t>
  </si>
  <si>
    <t>Property Appreciation Rate</t>
  </si>
  <si>
    <t>Property ID</t>
  </si>
  <si>
    <t>Beds</t>
  </si>
  <si>
    <t>Baths</t>
  </si>
  <si>
    <t>Sqr ft</t>
  </si>
  <si>
    <t>Units</t>
  </si>
  <si>
    <t>Purchase Price</t>
  </si>
  <si>
    <t>Cash Needed FHA</t>
  </si>
  <si>
    <t>Cash Needed 5% Down</t>
  </si>
  <si>
    <t>Monthly Cost FHA</t>
  </si>
  <si>
    <t>Monthly Cost 5% Down</t>
  </si>
  <si>
    <t>Cashflow Y1 FHA</t>
  </si>
  <si>
    <t>Cashflow Y1 5% Down</t>
  </si>
  <si>
    <t>Cashflow Y2 FHA</t>
  </si>
  <si>
    <t>Cashflow Y2 5% Down</t>
  </si>
  <si>
    <t>Cap rate Y2 FHA</t>
  </si>
  <si>
    <t>Cap rate Y2 5% Down</t>
  </si>
  <si>
    <t>CoC Y1 FHA</t>
  </si>
  <si>
    <t>CoC Y1 5% Down</t>
  </si>
  <si>
    <t>518 35th St</t>
  </si>
  <si>
    <t>1175 21st St</t>
  </si>
  <si>
    <t>1514 Harrison Ave</t>
  </si>
  <si>
    <t>1148 36th St</t>
  </si>
  <si>
    <t>1429 Martin Luther King Jr Pkwy</t>
  </si>
  <si>
    <t>401 Franklin Ave</t>
  </si>
  <si>
    <t>1064 27th St</t>
  </si>
  <si>
    <t>1206 39th St</t>
  </si>
  <si>
    <t>1608 Mondamin Ave</t>
  </si>
  <si>
    <t>3900 11th St</t>
  </si>
  <si>
    <t>Property Details</t>
  </si>
  <si>
    <t>1514 Harrison Ave, Des Moines, IA 50314</t>
  </si>
  <si>
    <t>Conservative Claude Report Assumptions</t>
  </si>
  <si>
    <t>Per Month</t>
  </si>
  <si>
    <t>Multi-unit Type</t>
  </si>
  <si>
    <t>1-bed 1-bath</t>
  </si>
  <si>
    <t>2-bed 1-bath</t>
  </si>
  <si>
    <t>Square Feet</t>
  </si>
  <si>
    <t>3-bed 1-bath</t>
  </si>
  <si>
    <t>Bedrooms</t>
  </si>
  <si>
    <t>2-bed 2-bath</t>
  </si>
  <si>
    <t>Bathrooms</t>
  </si>
  <si>
    <t>4-bed 2-bath</t>
  </si>
  <si>
    <t>Lot Size (Sqr ft)</t>
  </si>
  <si>
    <t>Studio</t>
  </si>
  <si>
    <t>Built in Year</t>
  </si>
  <si>
    <t>None</t>
  </si>
  <si>
    <t>Cost Per Square Foot</t>
  </si>
  <si>
    <t>Financials</t>
  </si>
  <si>
    <t>Closing Costs</t>
  </si>
  <si>
    <t>Rehab Costs (Optional)</t>
  </si>
  <si>
    <t>Mortgage</t>
  </si>
  <si>
    <t>Loan Type</t>
  </si>
  <si>
    <t>Down payment percentage</t>
  </si>
  <si>
    <t>Down payment amount</t>
  </si>
  <si>
    <t>Base Loan Amount</t>
  </si>
  <si>
    <t>FHA Fees Rolled into Loan</t>
  </si>
  <si>
    <t>Final Loan Amount</t>
  </si>
  <si>
    <t>Monthly Mortgage Payment</t>
  </si>
  <si>
    <t>PMI Annual Cost</t>
  </si>
  <si>
    <t>PMI Monthly Cost</t>
  </si>
  <si>
    <t>Total PMI Cost Over the Whole Loan</t>
  </si>
  <si>
    <t>Property Tax Percentage</t>
  </si>
  <si>
    <t>Property Tax Per Month</t>
  </si>
  <si>
    <t>Home Insurance Cost Per Year</t>
  </si>
  <si>
    <t>Home Insurance Cost Per Month</t>
  </si>
  <si>
    <t>Mortgage + Taxes + Insurance Monthly</t>
  </si>
  <si>
    <t>Vacancy Cost Savings Per Month</t>
  </si>
  <si>
    <t>Repair Cost Savings Per Month</t>
  </si>
  <si>
    <t>Total Monthly Cost</t>
  </si>
  <si>
    <t>Total Upfront Cost</t>
  </si>
  <si>
    <t>Cash Flow</t>
  </si>
  <si>
    <t>Unit Configurations (Bed,Bath,Sqrft)</t>
  </si>
  <si>
    <t>Configuration</t>
  </si>
  <si>
    <t>Estimated Rent</t>
  </si>
  <si>
    <t>Unit 1</t>
  </si>
  <si>
    <t>Unit 2</t>
  </si>
  <si>
    <t>Unit 3</t>
  </si>
  <si>
    <t>Unit 4</t>
  </si>
  <si>
    <t>Living in Unit…</t>
  </si>
  <si>
    <t>Estimated Total Rent</t>
  </si>
  <si>
    <t>Estimated Total Rent Year 1</t>
  </si>
  <si>
    <t>Cashflow Year 1 per month</t>
  </si>
  <si>
    <t>Cashflow Year 2-N per month</t>
  </si>
  <si>
    <t>Annual Cashflow Year 1</t>
  </si>
  <si>
    <t>Annual Cashflow Year 2-N</t>
  </si>
  <si>
    <t>Financial Metrics</t>
  </si>
  <si>
    <t>Capitalization Rate Year 1</t>
  </si>
  <si>
    <t>Capitalization Rate Year 2</t>
  </si>
  <si>
    <t>Cash on Cash Return Year 1</t>
  </si>
  <si>
    <t>Cash on Cash Return Year 2</t>
  </si>
  <si>
    <t>Gross Rent Multiplier (Year 2)</t>
  </si>
  <si>
    <t>Return on Equity Year 1</t>
  </si>
  <si>
    <t>Return on Equity Year 2</t>
  </si>
  <si>
    <t>Return on Investment</t>
  </si>
  <si>
    <t>Internal Rate of Return</t>
  </si>
  <si>
    <t>https://www.zillow.com/homedetails/1175-21st-St-Des-Moines-IA-50311/772225_zpid/</t>
  </si>
  <si>
    <t>1429 Martin Luther King Jr Pkwy, Des Moines, IA 50314</t>
  </si>
  <si>
    <t>3-bed 2-bath</t>
  </si>
  <si>
    <t>1206 39th St, Des Moines, IA 50311</t>
  </si>
  <si>
    <t>401 Franklin Ave, Des Moines, IA 50314</t>
  </si>
  <si>
    <t>1608 Mondamin Ave, Des Moines, IA 50314</t>
  </si>
  <si>
    <t>3-bed 3-bath</t>
  </si>
  <si>
    <t>1064 27th St, Des Moines, IA 50311</t>
  </si>
  <si>
    <t>518 35th St, Des Moines, IA 50312</t>
  </si>
  <si>
    <t>1148 36th St, Des Moines, IA 50311</t>
  </si>
  <si>
    <t>Conventional - 10%</t>
  </si>
  <si>
    <t>Cashflow Year 1</t>
  </si>
  <si>
    <t>Cashflow Year 2-N</t>
  </si>
  <si>
    <t>ADDRESS_HERE</t>
  </si>
  <si>
    <t>3900 11th St, Des Moines, IA 50313</t>
  </si>
  <si>
    <t>2-beds 1-baths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</si>
</sst>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%"/>
    <numFmt numFmtId="166" formatCode="0.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9"/>
      <name val="Aptos Narrow"/>
      <family val="2"/>
      <scheme val="minor"/>
    </font>
    <font>
      <i/>
      <sz val="12"/>
      <color theme="3" tint="0.749992370372631"/>
      <name val="Aptos Narrow"/>
      <scheme val="minor"/>
    </font>
    <font>
      <sz val="12"/>
      <color theme="3" tint="0.74999237037263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4" fillId="0" borderId="0"/>
    <xf numFmtId="44" fontId="4" fillId="0" borderId="0"/>
    <xf numFmtId="9" fontId="4" fillId="0" borderId="0"/>
    <xf numFmtId="0" fontId="9" fillId="0" borderId="0"/>
  </cellStyleXfs>
  <cellXfs count="44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9" fontId="0" fillId="0" borderId="0" xfId="3" applyFont="1"/>
    <xf numFmtId="10" fontId="0" fillId="0" borderId="0" xfId="3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4" fontId="0" fillId="0" borderId="0" xfId="2" applyFont="1"/>
    <xf numFmtId="44" fontId="5" fillId="0" borderId="0" xfId="2" applyFont="1"/>
    <xf numFmtId="44" fontId="5" fillId="0" borderId="0" xfId="0" applyNumberFormat="1" applyFont="1"/>
    <xf numFmtId="0" fontId="3" fillId="0" borderId="0" xfId="0" applyFont="1" applyAlignment="1">
      <alignment horizontal="left" indent="2"/>
    </xf>
    <xf numFmtId="10" fontId="6" fillId="0" borderId="0" xfId="0" applyNumberFormat="1" applyFont="1"/>
    <xf numFmtId="164" fontId="6" fillId="0" borderId="0" xfId="3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 indent="3"/>
    </xf>
    <xf numFmtId="0" fontId="0" fillId="0" borderId="0" xfId="1" applyNumberFormat="1" applyFont="1"/>
    <xf numFmtId="44" fontId="6" fillId="0" borderId="0" xfId="2" applyFont="1"/>
    <xf numFmtId="0" fontId="2" fillId="0" borderId="0" xfId="0" applyFont="1" applyAlignment="1">
      <alignment horizontal="left" indent="3"/>
    </xf>
    <xf numFmtId="44" fontId="7" fillId="0" borderId="0" xfId="2" applyFont="1"/>
    <xf numFmtId="44" fontId="8" fillId="0" borderId="0" xfId="2" applyFont="1"/>
    <xf numFmtId="8" fontId="5" fillId="0" borderId="0" xfId="0" applyNumberFormat="1" applyFont="1"/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1"/>
    </xf>
    <xf numFmtId="0" fontId="0" fillId="0" borderId="0" xfId="0" applyAlignment="1">
      <alignment horizontal="right" wrapText="1"/>
    </xf>
    <xf numFmtId="0" fontId="10" fillId="0" borderId="0" xfId="0" applyFont="1" applyAlignment="1">
      <alignment horizontal="left" indent="2"/>
    </xf>
    <xf numFmtId="0" fontId="9" fillId="0" borderId="0" xfId="4" applyAlignment="1">
      <alignment wrapText="1"/>
    </xf>
    <xf numFmtId="8" fontId="5" fillId="0" borderId="0" xfId="2" applyNumberFormat="1" applyFont="1"/>
    <xf numFmtId="0" fontId="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2" applyNumberFormat="1" applyFont="1"/>
    <xf numFmtId="165" fontId="0" fillId="0" borderId="0" xfId="3" applyNumberFormat="1" applyFont="1"/>
    <xf numFmtId="10" fontId="5" fillId="0" borderId="0" xfId="3" applyNumberFormat="1" applyFont="1"/>
    <xf numFmtId="44" fontId="1" fillId="0" borderId="0" xfId="2" applyFont="1"/>
    <xf numFmtId="10" fontId="1" fillId="0" borderId="0" xfId="3" applyNumberFormat="1" applyFont="1"/>
    <xf numFmtId="2" fontId="5" fillId="0" borderId="0" xfId="0" applyNumberFormat="1" applyFont="1" applyAlignment="1">
      <alignment horizontal="right" indent="1"/>
    </xf>
    <xf numFmtId="0" fontId="0" fillId="0" borderId="0" xfId="0"/>
    <xf numFmtId="0" fontId="9" fillId="0" borderId="0" xfId="4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 inden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  <numFmt numFmtId="14" formatCode="0.00%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left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R10" totalsRowShown="0" headerRowDxfId="137" dataDxfId="136" dataCellStyle="Percent">
  <autoFilter ref="A1:R10" xr:uid="{00000000-0009-0000-0100-000001000000}"/>
  <sortState xmlns:xlrd2="http://schemas.microsoft.com/office/spreadsheetml/2017/richdata2" ref="A2:R10">
    <sortCondition descending="1" ref="K1:K10"/>
  </sortState>
  <tableColumns count="18">
    <tableColumn id="1" xr3:uid="{00000000-0010-0000-0000-000001000000}" name="Property ID"/>
    <tableColumn id="2" xr3:uid="{00000000-0010-0000-0000-000002000000}" name="Beds" dataDxfId="135" dataCellStyle="Currency">
      <calculatedColumnFormula array="1">INDIRECT("'"&amp;$A2&amp;"'!B5",TRUE)</calculatedColumnFormula>
    </tableColumn>
    <tableColumn id="3" xr3:uid="{00000000-0010-0000-0000-000003000000}" name="Baths" dataDxfId="134" dataCellStyle="Currency">
      <calculatedColumnFormula array="1">INDIRECT("'"&amp;$A2&amp;"'!B6",TRUE)</calculatedColumnFormula>
    </tableColumn>
    <tableColumn id="4" xr3:uid="{00000000-0010-0000-0000-000004000000}" name="Sqr ft" dataDxfId="133" dataCellStyle="Currency">
      <calculatedColumnFormula array="1">INDIRECT("'"&amp;$A2&amp;"'!B4",TRUE)</calculatedColumnFormula>
    </tableColumn>
    <tableColumn id="5" xr3:uid="{00000000-0010-0000-0000-000005000000}" name="Units" dataDxfId="132" dataCellStyle="Currency">
      <calculatedColumnFormula array="1">INDIRECT("'"&amp;$A2&amp;"'!B2",TRUE)</calculatedColumnFormula>
    </tableColumn>
    <tableColumn id="6" xr3:uid="{00000000-0010-0000-0000-000006000000}" name="Purchase Price" dataDxfId="131" dataCellStyle="Currency">
      <calculatedColumnFormula array="1">INDIRECT("'"&amp;$A2&amp;"'!B3",TRUE)</calculatedColumnFormula>
    </tableColumn>
    <tableColumn id="7" xr3:uid="{00000000-0010-0000-0000-000007000000}" name="Cash Needed FHA" dataDxfId="130" dataCellStyle="Currency">
      <calculatedColumnFormula array="1">INDIRECT("'"&amp;$A2&amp;"'!B35",TRUE)</calculatedColumnFormula>
    </tableColumn>
    <tableColumn id="8" xr3:uid="{00000000-0010-0000-0000-000008000000}" name="Cash Needed 5% Down" dataDxfId="129" dataCellStyle="Currency">
      <calculatedColumnFormula array="1">INDIRECT("'"&amp;$A2&amp;"'!C35",TRUE)</calculatedColumnFormula>
    </tableColumn>
    <tableColumn id="9" xr3:uid="{00000000-0010-0000-0000-000009000000}" name="Monthly Cost FHA" dataDxfId="128" dataCellStyle="Currency">
      <calculatedColumnFormula array="1">INDIRECT("'"&amp;$A2&amp;"'!B34",TRUE)</calculatedColumnFormula>
    </tableColumn>
    <tableColumn id="10" xr3:uid="{00000000-0010-0000-0000-00000A000000}" name="Monthly Cost 5% Down" dataDxfId="127" dataCellStyle="Currency">
      <calculatedColumnFormula array="1">INDIRECT("'"&amp;$A2&amp;"'!C34",TRUE)</calculatedColumnFormula>
    </tableColumn>
    <tableColumn id="11" xr3:uid="{00000000-0010-0000-0000-00000B000000}" name="Cashflow Y1 FHA" dataDxfId="126" dataCellStyle="Currency">
      <calculatedColumnFormula array="1">INDIRECT("'"&amp;$A2&amp;"'!B46",TRUE)</calculatedColumnFormula>
    </tableColumn>
    <tableColumn id="12" xr3:uid="{00000000-0010-0000-0000-00000C000000}" name="Cashflow Y1 5% Down" dataDxfId="125" dataCellStyle="Currency">
      <calculatedColumnFormula array="1">INDIRECT("'"&amp;$A2&amp;"'!C46",TRUE)</calculatedColumnFormula>
    </tableColumn>
    <tableColumn id="13" xr3:uid="{00000000-0010-0000-0000-00000D000000}" name="Cashflow Y2 FHA" dataDxfId="124" dataCellStyle="Currency">
      <calculatedColumnFormula array="1">INDIRECT("'"&amp;$A2&amp;"'!B47",TRUE)</calculatedColumnFormula>
    </tableColumn>
    <tableColumn id="14" xr3:uid="{00000000-0010-0000-0000-00000E000000}" name="Cashflow Y2 5% Down" dataDxfId="123" dataCellStyle="Currency">
      <calculatedColumnFormula array="1">INDIRECT("'"&amp;$A2&amp;"'!C47",TRUE)</calculatedColumnFormula>
    </tableColumn>
    <tableColumn id="15" xr3:uid="{00000000-0010-0000-0000-00000F000000}" name="Cap rate Y2 FHA" dataDxfId="122" dataCellStyle="Percent">
      <calculatedColumnFormula array="1">INDIRECT("'"&amp;$A2&amp;"'!B53",TRUE)</calculatedColumnFormula>
    </tableColumn>
    <tableColumn id="16" xr3:uid="{00000000-0010-0000-0000-000010000000}" name="Cap rate Y2 5% Down" dataDxfId="121" dataCellStyle="Percent">
      <calculatedColumnFormula array="1">INDIRECT("'"&amp;$A2&amp;"'!C53",TRUE)</calculatedColumnFormula>
    </tableColumn>
    <tableColumn id="17" xr3:uid="{00000000-0010-0000-0000-000011000000}" name="CoC Y1 FHA" dataDxfId="120" dataCellStyle="Percent">
      <calculatedColumnFormula array="1">INDIRECT("'"&amp;$A2&amp;"'!B54",TRUE)</calculatedColumnFormula>
    </tableColumn>
    <tableColumn id="18" xr3:uid="{00000000-0010-0000-0000-000012000000}" name="CoC Y1 5% Down" dataDxfId="119" dataCellStyle="Percent">
      <calculatedColumnFormula array="1">INDIRECT("'"&amp;$A2&amp;"'!C54",TRUE)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04a8a465-e970-4ea8-8080-3925860a4706" TargetMode="External"/><Relationship Id="rId1" Type="http://schemas.openxmlformats.org/officeDocument/2006/relationships/hyperlink" Target="https://www.zillow.com/homedetails/1514-Harrison-Ave-Des-Moines-IA-50314/251547601_zpid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dc87eac4-9540-4103-ad0a-17b785a393c6" TargetMode="External"/><Relationship Id="rId1" Type="http://schemas.openxmlformats.org/officeDocument/2006/relationships/hyperlink" Target="https://www.zillow.com/homedetails/1175-21st-St-Des-Moines-IA-50311/772225_zpid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0e9ba185-e69b-42db-b283-942403843458" TargetMode="External"/><Relationship Id="rId1" Type="http://schemas.openxmlformats.org/officeDocument/2006/relationships/hyperlink" Target="https://www.zillow.com/homedetails/1429-Martin-Luther-King-Jr-Pkwy-Des-Moines-IA-50314/791000_zpid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678ac26d-5f5d-4da2-a314-0a3a43b9a5ea" TargetMode="External"/><Relationship Id="rId1" Type="http://schemas.openxmlformats.org/officeDocument/2006/relationships/hyperlink" Target="https://www.zillow.com/homedetails/1206-39th-St-Des-Moines-IA-50311/251547794_zpid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1851ccbb-888a-40ad-a3b5-c09f889b7697" TargetMode="External"/><Relationship Id="rId1" Type="http://schemas.openxmlformats.org/officeDocument/2006/relationships/hyperlink" Target="https://www.zillow.com/homedetails/401-Franklin-Ave-Des-Moines-IA-50314/788740_zpid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8db00ee5-fc68-4272-8f80-77e062a2699d" TargetMode="External"/><Relationship Id="rId1" Type="http://schemas.openxmlformats.org/officeDocument/2006/relationships/hyperlink" Target="https://www.zillow.com/homedetails/1608-Mondamin-Ave-Des-Moines-IA-50314/791313_zpid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da7a4670-9d6f-4f21-8430-9d874a31f628" TargetMode="External"/><Relationship Id="rId1" Type="http://schemas.openxmlformats.org/officeDocument/2006/relationships/hyperlink" Target="https://www.zillow.com/homedetails/1064-27th-St-Des-Moines-IA-50311/772187_zpid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d75f19f3-916e-4bfe-9b50-3db943e0d922" TargetMode="External"/><Relationship Id="rId1" Type="http://schemas.openxmlformats.org/officeDocument/2006/relationships/hyperlink" Target="https://www.zillow.com/homedetails/518-35th-St-Des-Moines-IA-50312/251547772_zpid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f4098497-da52-41c2-bc67-16f440e35aa0" TargetMode="External"/><Relationship Id="rId1" Type="http://schemas.openxmlformats.org/officeDocument/2006/relationships/hyperlink" Target="https://www.zillow.com/homedetails/1148-36th-St-Des-Moines-IA-50311/251547694_zpid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04a8a465-e970-4ea8-8080-3925860a4706" TargetMode="External"/><Relationship Id="rId1" Type="http://schemas.openxmlformats.org/officeDocument/2006/relationships/hyperlink" Target="https://www.zillow.com/homedetails/1514-Harrison-Ave-Des-Moines-IA-50314/251547601_zpid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claude.ai/chat/04a8a465-e970-4ea8-8080-3925860a4706" TargetMode="External"/><Relationship Id="rId1" Type="http://schemas.openxmlformats.org/officeDocument/2006/relationships/hyperlink" Target="https://www.zillow.com/homedetails/3900-11th-St-Des-Moines-IA-50313/251547556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"/>
  <sheetViews>
    <sheetView zoomScale="150" workbookViewId="0">
      <selection activeCell="A2" sqref="A2"/>
    </sheetView>
  </sheetViews>
  <sheetFormatPr baseColWidth="10" defaultRowHeight="16" x14ac:dyDescent="0.2"/>
  <cols>
    <col min="1" max="1" width="37.83203125" customWidth="1"/>
    <col min="3" max="3" width="12.5" bestFit="1" customWidth="1"/>
    <col min="4" max="4" width="17.6640625" customWidth="1"/>
    <col min="5" max="5" width="24.33203125" customWidth="1"/>
    <col min="7" max="7" width="14.1640625" bestFit="1" customWidth="1"/>
  </cols>
  <sheetData>
    <row r="1" spans="1:7" x14ac:dyDescent="0.2">
      <c r="A1" s="3" t="s">
        <v>0</v>
      </c>
      <c r="B1" s="3" t="s">
        <v>1</v>
      </c>
      <c r="D1" s="3" t="s">
        <v>2</v>
      </c>
      <c r="E1" s="3" t="s">
        <v>3</v>
      </c>
      <c r="G1" s="3"/>
    </row>
    <row r="2" spans="1:7" x14ac:dyDescent="0.2">
      <c r="A2" t="s">
        <v>4</v>
      </c>
      <c r="B2" s="34">
        <v>1.5650000000000001E-2</v>
      </c>
      <c r="D2" t="s">
        <v>5</v>
      </c>
      <c r="E2">
        <v>3.5000000000000003E-2</v>
      </c>
    </row>
    <row r="3" spans="1:7" x14ac:dyDescent="0.2">
      <c r="A3" t="s">
        <v>6</v>
      </c>
      <c r="B3" s="7">
        <f>1/12</f>
        <v>8.3333333333333329E-2</v>
      </c>
      <c r="D3" t="s">
        <v>7</v>
      </c>
      <c r="E3">
        <v>0.05</v>
      </c>
    </row>
    <row r="4" spans="1:7" x14ac:dyDescent="0.2">
      <c r="A4" t="s">
        <v>8</v>
      </c>
      <c r="B4" s="7">
        <f>0.05</f>
        <v>0.05</v>
      </c>
    </row>
    <row r="5" spans="1:7" x14ac:dyDescent="0.2">
      <c r="A5" t="s">
        <v>9</v>
      </c>
      <c r="B5" s="6">
        <v>0.04</v>
      </c>
    </row>
    <row r="6" spans="1:7" x14ac:dyDescent="0.2">
      <c r="A6" t="s">
        <v>10</v>
      </c>
      <c r="B6" s="7">
        <v>6.2199999999999998E-2</v>
      </c>
    </row>
    <row r="7" spans="1:7" x14ac:dyDescent="0.2">
      <c r="A7" t="s">
        <v>11</v>
      </c>
      <c r="B7" s="7">
        <v>1.7500000000000002E-2</v>
      </c>
    </row>
    <row r="8" spans="1:7" x14ac:dyDescent="0.2">
      <c r="A8" t="s">
        <v>12</v>
      </c>
      <c r="B8" s="7">
        <f>0.0085</f>
        <v>8.5000000000000006E-3</v>
      </c>
    </row>
    <row r="9" spans="1:7" x14ac:dyDescent="0.2">
      <c r="A9" t="s">
        <v>13</v>
      </c>
      <c r="B9" s="18">
        <v>30</v>
      </c>
    </row>
    <row r="10" spans="1:7" x14ac:dyDescent="0.2">
      <c r="A10" t="s">
        <v>14</v>
      </c>
      <c r="B10" s="7">
        <v>0</v>
      </c>
    </row>
    <row r="11" spans="1:7" x14ac:dyDescent="0.2">
      <c r="A11" t="s">
        <v>15</v>
      </c>
      <c r="B11" s="7">
        <v>0.02</v>
      </c>
    </row>
  </sheetData>
  <pageMargins left="0.7" right="0.7" top="0.75" bottom="0.75" header="0.3" footer="0.3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1"/>
  <sheetViews>
    <sheetView zoomScale="112" zoomScaleNormal="112" workbookViewId="0">
      <selection activeCell="A2" sqref="A2"/>
    </sheetView>
  </sheetViews>
  <sheetFormatPr baseColWidth="10" defaultRowHeight="16" x14ac:dyDescent="0.2"/>
  <cols>
    <col min="1" max="1" width="26.33203125" bestFit="1" customWidth="1"/>
    <col min="2" max="2" width="7.1640625" customWidth="1"/>
    <col min="3" max="3" width="7.6640625" customWidth="1"/>
    <col min="4" max="5" width="7.33203125" customWidth="1"/>
    <col min="6" max="6" width="14.83203125" customWidth="1"/>
    <col min="7" max="7" width="17.33203125" customWidth="1"/>
    <col min="8" max="8" width="21.5" customWidth="1"/>
    <col min="9" max="9" width="17.33203125" customWidth="1"/>
    <col min="10" max="10" width="21.5" customWidth="1"/>
    <col min="11" max="11" width="17.6640625" bestFit="1" customWidth="1"/>
    <col min="12" max="12" width="20.83203125" customWidth="1"/>
    <col min="13" max="13" width="16.5" customWidth="1"/>
    <col min="14" max="14" width="20.83203125" customWidth="1"/>
    <col min="15" max="15" width="15.5" customWidth="1"/>
    <col min="16" max="16" width="19.83203125" customWidth="1"/>
    <col min="17" max="17" width="12.33203125" customWidth="1"/>
    <col min="18" max="18" width="16.6640625" customWidth="1"/>
  </cols>
  <sheetData>
    <row r="1" spans="1:18" s="32" customFormat="1" x14ac:dyDescent="0.2">
      <c r="A1" s="31" t="s">
        <v>16</v>
      </c>
      <c r="B1" s="31" t="s">
        <v>17</v>
      </c>
      <c r="C1" s="31" t="s">
        <v>18</v>
      </c>
      <c r="D1" s="31" t="s">
        <v>19</v>
      </c>
      <c r="E1" s="31" t="s">
        <v>20</v>
      </c>
      <c r="F1" s="31" t="s">
        <v>21</v>
      </c>
      <c r="G1" s="31" t="s">
        <v>22</v>
      </c>
      <c r="H1" s="31" t="s">
        <v>23</v>
      </c>
      <c r="I1" s="31" t="s">
        <v>24</v>
      </c>
      <c r="J1" s="31" t="s">
        <v>25</v>
      </c>
      <c r="K1" s="31" t="s">
        <v>26</v>
      </c>
      <c r="L1" s="31" t="s">
        <v>27</v>
      </c>
      <c r="M1" s="31" t="s">
        <v>28</v>
      </c>
      <c r="N1" s="31" t="s">
        <v>29</v>
      </c>
      <c r="O1" s="31" t="s">
        <v>30</v>
      </c>
      <c r="P1" s="31" t="s">
        <v>31</v>
      </c>
      <c r="Q1" s="31" t="s">
        <v>32</v>
      </c>
      <c r="R1" s="31" t="s">
        <v>33</v>
      </c>
    </row>
    <row r="2" spans="1:18" x14ac:dyDescent="0.2">
      <c r="A2" t="s">
        <v>34</v>
      </c>
      <c r="B2" s="33">
        <f t="array" aca="1" ref="B2" ca="1">INDIRECT("'"&amp;$A2&amp;"'!B5",TRUE)</f>
        <v>5</v>
      </c>
      <c r="C2" s="33">
        <f t="array" aca="1" ref="C2" ca="1">INDIRECT("'"&amp;$A2&amp;"'!B6",TRUE)</f>
        <v>4</v>
      </c>
      <c r="D2" s="33">
        <f t="array" aca="1" ref="D2" ca="1">INDIRECT("'"&amp;$A2&amp;"'!B4",TRUE)</f>
        <v>2463</v>
      </c>
      <c r="E2" s="33">
        <f t="array" aca="1" ref="E2" ca="1">INDIRECT("'"&amp;$A2&amp;"'!B2",TRUE)</f>
        <v>4</v>
      </c>
      <c r="F2" s="36">
        <f t="array" aca="1" ref="F2" ca="1">INDIRECT("'"&amp;$A2&amp;"'!B3",TRUE)</f>
        <v>264900</v>
      </c>
      <c r="G2" s="36">
        <f t="array" aca="1" ref="G2" ca="1">INDIRECT("'"&amp;$A2&amp;"'!B35",TRUE)</f>
        <v>19867.5</v>
      </c>
      <c r="H2" s="36">
        <f t="array" aca="1" ref="H2" ca="1">INDIRECT("'"&amp;$A2&amp;"'!C35",TRUE)</f>
        <v>23841</v>
      </c>
      <c r="I2" s="36">
        <f t="array" aca="1" ref="I2" ca="1">INDIRECT("'"&amp;$A2&amp;"'!B34",TRUE)</f>
        <v>2911.2439509248802</v>
      </c>
      <c r="J2" s="36">
        <f t="array" aca="1" ref="J2" ca="1">INDIRECT("'"&amp;$A2&amp;"'!C34",TRUE)</f>
        <v>2844.44643240404</v>
      </c>
      <c r="K2" s="36">
        <f t="array" aca="1" ref="K2" ca="1">INDIRECT("'"&amp;$A2&amp;"'!B46",TRUE)</f>
        <v>228.75604907511979</v>
      </c>
      <c r="L2" s="36">
        <f t="array" aca="1" ref="L2" ca="1">INDIRECT("'"&amp;$A2&amp;"'!C46",TRUE)</f>
        <v>295.55356759595998</v>
      </c>
      <c r="M2" s="36">
        <f t="array" aca="1" ref="M2" ca="1">INDIRECT("'"&amp;$A2&amp;"'!B47",TRUE)</f>
        <v>968.75604907511979</v>
      </c>
      <c r="N2" s="36">
        <f t="array" aca="1" ref="N2" ca="1">INDIRECT("'"&amp;$A2&amp;"'!C47",TRUE)</f>
        <v>1035.55356759596</v>
      </c>
      <c r="O2" s="37">
        <f t="array" aca="1" ref="O2" ca="1">INDIRECT("'"&amp;$A2&amp;"'!B53",TRUE)</f>
        <v>4.3884758734999765E-2</v>
      </c>
      <c r="P2" s="37">
        <f t="array" aca="1" ref="P2" ca="1">INDIRECT("'"&amp;$A2&amp;"'!C53",TRUE)</f>
        <v>4.6910693888831706E-2</v>
      </c>
      <c r="Q2" s="37">
        <f t="array" aca="1" ref="Q2" ca="1">INDIRECT("'"&amp;$A2&amp;"'!B54",TRUE)</f>
        <v>0.13816899906387001</v>
      </c>
      <c r="R2" s="37">
        <f t="array" aca="1" ref="R2" ca="1">INDIRECT("'"&amp;$A2&amp;"'!C54",TRUE)</f>
        <v>0.14876233426246885</v>
      </c>
    </row>
    <row r="3" spans="1:18" x14ac:dyDescent="0.2">
      <c r="A3" t="s">
        <v>35</v>
      </c>
      <c r="B3" s="33">
        <f t="array" aca="1" ref="B3" ca="1">INDIRECT("'"&amp;$A3&amp;"'!B5",TRUE)</f>
        <v>6</v>
      </c>
      <c r="C3" s="33">
        <f t="array" aca="1" ref="C3" ca="1">INDIRECT("'"&amp;$A3&amp;"'!B6",TRUE)</f>
        <v>3</v>
      </c>
      <c r="D3" s="33">
        <f t="array" aca="1" ref="D3" ca="1">INDIRECT("'"&amp;$A3&amp;"'!B4",TRUE)</f>
        <v>1568</v>
      </c>
      <c r="E3" s="33">
        <f t="array" aca="1" ref="E3" ca="1">INDIRECT("'"&amp;$A3&amp;"'!B2",TRUE)</f>
        <v>2</v>
      </c>
      <c r="F3" s="36">
        <f t="array" aca="1" ref="F3" ca="1">INDIRECT("'"&amp;$A3&amp;"'!B3",TRUE)</f>
        <v>212500</v>
      </c>
      <c r="G3" s="36">
        <f t="array" aca="1" ref="G3" ca="1">INDIRECT("'"&amp;$A3&amp;"'!B35",TRUE)</f>
        <v>15937.5</v>
      </c>
      <c r="H3" s="36">
        <f t="array" aca="1" ref="H3" ca="1">INDIRECT("'"&amp;$A3&amp;"'!C35",TRUE)</f>
        <v>19125</v>
      </c>
      <c r="I3" s="36">
        <f t="array" aca="1" ref="I3" ca="1">INDIRECT("'"&amp;$A3&amp;"'!B34",TRUE)</f>
        <v>1933.9804564170263</v>
      </c>
      <c r="J3" s="36">
        <f t="array" aca="1" ref="J3" ca="1">INDIRECT("'"&amp;$A3&amp;"'!C34",TRUE)</f>
        <v>1880.3961880679194</v>
      </c>
      <c r="K3" s="36">
        <f t="array" aca="1" ref="K3" ca="1">INDIRECT("'"&amp;$A3&amp;"'!B46",TRUE)</f>
        <v>239.01954358297371</v>
      </c>
      <c r="L3" s="36">
        <f t="array" aca="1" ref="L3" ca="1">INDIRECT("'"&amp;$A3&amp;"'!C46",TRUE)</f>
        <v>292.60381193208059</v>
      </c>
      <c r="M3" s="36">
        <f t="array" aca="1" ref="M3" ca="1">INDIRECT("'"&amp;$A3&amp;"'!B47",TRUE)</f>
        <v>1214.0195435829737</v>
      </c>
      <c r="N3" s="36">
        <f t="array" aca="1" ref="N3" ca="1">INDIRECT("'"&amp;$A3&amp;"'!C47",TRUE)</f>
        <v>1267.6038119320806</v>
      </c>
      <c r="O3" s="37">
        <f t="array" aca="1" ref="O3" ca="1">INDIRECT("'"&amp;$A3&amp;"'!B53",TRUE)</f>
        <v>6.8556397755273807E-2</v>
      </c>
      <c r="P3" s="37">
        <f t="array" aca="1" ref="P3" ca="1">INDIRECT("'"&amp;$A3&amp;"'!C53",TRUE)</f>
        <v>7.1582332909105734E-2</v>
      </c>
      <c r="Q3" s="37">
        <f t="array" aca="1" ref="Q3" ca="1">INDIRECT("'"&amp;$A3&amp;"'!B54",TRUE)</f>
        <v>0.17996765634482725</v>
      </c>
      <c r="R3" s="37">
        <f t="array" aca="1" ref="R3" ca="1">INDIRECT("'"&amp;$A3&amp;"'!C54",TRUE)</f>
        <v>0.18359454866326624</v>
      </c>
    </row>
    <row r="4" spans="1:18" x14ac:dyDescent="0.2">
      <c r="A4" t="s">
        <v>36</v>
      </c>
      <c r="B4" s="33">
        <f t="array" aca="1" ref="B4" ca="1">INDIRECT("'"&amp;$A4&amp;"'!B5",TRUE)</f>
        <v>6</v>
      </c>
      <c r="C4" s="33">
        <f t="array" aca="1" ref="C4" ca="1">INDIRECT("'"&amp;$A4&amp;"'!B6",TRUE)</f>
        <v>3</v>
      </c>
      <c r="D4" s="33">
        <f t="array" aca="1" ref="D4" ca="1">INDIRECT("'"&amp;$A4&amp;"'!B4",TRUE)</f>
        <v>2491</v>
      </c>
      <c r="E4" s="33">
        <f t="array" aca="1" ref="E4" ca="1">INDIRECT("'"&amp;$A4&amp;"'!B2",TRUE)</f>
        <v>3</v>
      </c>
      <c r="F4" s="36">
        <f t="array" aca="1" ref="F4" ca="1">INDIRECT("'"&amp;$A4&amp;"'!B3",TRUE)</f>
        <v>220000</v>
      </c>
      <c r="G4" s="36">
        <f t="array" aca="1" ref="G4" ca="1">INDIRECT("'"&amp;$A4&amp;"'!B35",TRUE)</f>
        <v>16500</v>
      </c>
      <c r="H4" s="36">
        <f t="array" aca="1" ref="H4" ca="1">INDIRECT("'"&amp;$A4&amp;"'!C35",TRUE)</f>
        <v>19800</v>
      </c>
      <c r="I4" s="36">
        <f t="array" aca="1" ref="I4" ca="1">INDIRECT("'"&amp;$A4&amp;"'!B34",TRUE)</f>
        <v>2002.2385901729217</v>
      </c>
      <c r="J4" s="36">
        <f t="array" aca="1" ref="J4" ca="1">INDIRECT("'"&amp;$A4&amp;"'!C34",TRUE)</f>
        <v>1946.7631123526694</v>
      </c>
      <c r="K4" s="36">
        <f t="array" aca="1" ref="K4" ca="1">INDIRECT("'"&amp;$A4&amp;"'!B46",TRUE)</f>
        <v>-12.238590172921704</v>
      </c>
      <c r="L4" s="36">
        <f t="array" aca="1" ref="L4" ca="1">INDIRECT("'"&amp;$A4&amp;"'!C46",TRUE)</f>
        <v>43.236887647330605</v>
      </c>
      <c r="M4" s="36">
        <f t="array" aca="1" ref="M4" ca="1">INDIRECT("'"&amp;$A4&amp;"'!B47",TRUE)</f>
        <v>982.7614098270783</v>
      </c>
      <c r="N4" s="36">
        <f t="array" aca="1" ref="N4" ca="1">INDIRECT("'"&amp;$A4&amp;"'!C47",TRUE)</f>
        <v>1038.2368876473306</v>
      </c>
      <c r="O4" s="37">
        <f t="array" aca="1" ref="O4" ca="1">INDIRECT("'"&amp;$A4&amp;"'!B53",TRUE)</f>
        <v>5.3605167808749722E-2</v>
      </c>
      <c r="P4" s="37">
        <f t="array" aca="1" ref="P4" ca="1">INDIRECT("'"&amp;$A4&amp;"'!C53",TRUE)</f>
        <v>5.663110296258167E-2</v>
      </c>
      <c r="Q4" s="37">
        <f t="array" aca="1" ref="Q4" ca="1">INDIRECT("'"&amp;$A4&amp;"'!B54",TRUE)</f>
        <v>-8.9007928530339658E-3</v>
      </c>
      <c r="R4" s="37">
        <f t="array" aca="1" ref="R4" ca="1">INDIRECT("'"&amp;$A4&amp;"'!C54",TRUE)</f>
        <v>2.6204174331715516E-2</v>
      </c>
    </row>
    <row r="5" spans="1:18" x14ac:dyDescent="0.2">
      <c r="A5" t="s">
        <v>37</v>
      </c>
      <c r="B5" s="33">
        <f t="array" aca="1" ref="B5" ca="1">INDIRECT("'"&amp;$A5&amp;"'!B5",TRUE)</f>
        <v>6</v>
      </c>
      <c r="C5" s="33">
        <f t="array" aca="1" ref="C5" ca="1">INDIRECT("'"&amp;$A5&amp;"'!B6",TRUE)</f>
        <v>4</v>
      </c>
      <c r="D5" s="33">
        <f t="array" aca="1" ref="D5" ca="1">INDIRECT("'"&amp;$A5&amp;"'!B4",TRUE)</f>
        <v>2509</v>
      </c>
      <c r="E5" s="33">
        <f t="array" aca="1" ref="E5" ca="1">INDIRECT("'"&amp;$A5&amp;"'!B2",TRUE)</f>
        <v>4</v>
      </c>
      <c r="F5" s="36">
        <f t="array" aca="1" ref="F5" ca="1">INDIRECT("'"&amp;$A5&amp;"'!B3",TRUE)</f>
        <v>355000</v>
      </c>
      <c r="G5" s="36">
        <f t="array" aca="1" ref="G5" ca="1">INDIRECT("'"&amp;$A5&amp;"'!B35",TRUE)</f>
        <v>26625</v>
      </c>
      <c r="H5" s="36">
        <f t="array" aca="1" ref="H5" ca="1">INDIRECT("'"&amp;$A5&amp;"'!C35",TRUE)</f>
        <v>26625</v>
      </c>
      <c r="I5" s="36">
        <f t="array" aca="1" ref="I5" ca="1">INDIRECT("'"&amp;$A5&amp;"'!B34",TRUE)</f>
        <v>3230.8849977790328</v>
      </c>
      <c r="J5" s="36">
        <f t="array" aca="1" ref="J5" ca="1">INDIRECT("'"&amp;$A5&amp;"'!C34",TRUE)</f>
        <v>3182.6834025401072</v>
      </c>
      <c r="K5" s="36">
        <f t="array" aca="1" ref="K5" ca="1">INDIRECT("'"&amp;$A5&amp;"'!B46",TRUE)</f>
        <v>-555.8849977790328</v>
      </c>
      <c r="L5" s="36">
        <f t="array" aca="1" ref="L5" ca="1">INDIRECT("'"&amp;$A5&amp;"'!C46",TRUE)</f>
        <v>-507.68340254010718</v>
      </c>
      <c r="M5" s="36">
        <f t="array" aca="1" ref="M5" ca="1">INDIRECT("'"&amp;$A5&amp;"'!B47",TRUE)</f>
        <v>269.1150022209672</v>
      </c>
      <c r="N5" s="36">
        <f t="array" aca="1" ref="N5" ca="1">INDIRECT("'"&amp;$A5&amp;"'!C47",TRUE)</f>
        <v>317.31659745989282</v>
      </c>
      <c r="O5" s="37">
        <f t="array" aca="1" ref="O5" ca="1">INDIRECT("'"&amp;$A5&amp;"'!B53",TRUE)</f>
        <v>7.5807042879145689E-4</v>
      </c>
      <c r="P5" s="37">
        <f t="array" aca="1" ref="P5" ca="1">INDIRECT("'"&amp;$A5&amp;"'!C53",TRUE)</f>
        <v>8.9384957030955723E-4</v>
      </c>
      <c r="Q5" s="37">
        <f t="array" aca="1" ref="Q5" ca="1">INDIRECT("'"&amp;$A5&amp;"'!B54",TRUE)</f>
        <v>-2.0878309775738322E-2</v>
      </c>
      <c r="R5" s="37">
        <f t="array" aca="1" ref="R5" ca="1">INDIRECT("'"&amp;$A5&amp;"'!C54",TRUE)</f>
        <v>-1.906792122216365E-2</v>
      </c>
    </row>
    <row r="6" spans="1:18" x14ac:dyDescent="0.2">
      <c r="A6" t="s">
        <v>38</v>
      </c>
      <c r="B6" s="33">
        <f t="array" aca="1" ref="B6" ca="1">INDIRECT("'"&amp;$A6&amp;"'!B5",TRUE)</f>
        <v>5</v>
      </c>
      <c r="C6" s="33">
        <f t="array" aca="1" ref="C6" ca="1">INDIRECT("'"&amp;$A6&amp;"'!B6",TRUE)</f>
        <v>2</v>
      </c>
      <c r="D6" s="33">
        <f t="array" aca="1" ref="D6" ca="1">INDIRECT("'"&amp;$A6&amp;"'!B4",TRUE)</f>
        <v>2544</v>
      </c>
      <c r="E6" s="33">
        <f t="array" aca="1" ref="E6" ca="1">INDIRECT("'"&amp;$A6&amp;"'!B2",TRUE)</f>
        <v>2</v>
      </c>
      <c r="F6" s="36">
        <f t="array" aca="1" ref="F6" ca="1">INDIRECT("'"&amp;$A6&amp;"'!B3",TRUE)</f>
        <v>169000</v>
      </c>
      <c r="G6" s="36">
        <f t="array" aca="1" ref="G6" ca="1">INDIRECT("'"&amp;$A6&amp;"'!B35",TRUE)</f>
        <v>12675</v>
      </c>
      <c r="H6" s="36">
        <f t="array" aca="1" ref="H6" ca="1">INDIRECT("'"&amp;$A6&amp;"'!C35",TRUE)</f>
        <v>15210</v>
      </c>
      <c r="I6" s="36">
        <f t="array" aca="1" ref="I6" ca="1">INDIRECT("'"&amp;$A6&amp;"'!B34",TRUE)</f>
        <v>1538.0832806328349</v>
      </c>
      <c r="J6" s="36">
        <f t="array" aca="1" ref="J6" ca="1">INDIRECT("'"&amp;$A6&amp;"'!C34",TRUE)</f>
        <v>1495.4680272163687</v>
      </c>
      <c r="K6" s="36">
        <f t="array" aca="1" ref="K6" ca="1">INDIRECT("'"&amp;$A6&amp;"'!B46",TRUE)</f>
        <v>-168.08328063283489</v>
      </c>
      <c r="L6" s="36">
        <f t="array" aca="1" ref="L6" ca="1">INDIRECT("'"&amp;$A6&amp;"'!C46",TRUE)</f>
        <v>-125.46802721636868</v>
      </c>
      <c r="M6" s="36">
        <f t="array" aca="1" ref="M6" ca="1">INDIRECT("'"&amp;$A6&amp;"'!B47",TRUE)</f>
        <v>931.91671936716511</v>
      </c>
      <c r="N6" s="36">
        <f t="array" aca="1" ref="N6" ca="1">INDIRECT("'"&amp;$A6&amp;"'!C47",TRUE)</f>
        <v>974.53197278363132</v>
      </c>
      <c r="O6" s="37">
        <f t="array" aca="1" ref="O6" ca="1">INDIRECT("'"&amp;$A6&amp;"'!B53",TRUE)</f>
        <v>6.6171601375183325E-2</v>
      </c>
      <c r="P6" s="37">
        <f t="array" aca="1" ref="P6" ca="1">INDIRECT("'"&amp;$A6&amp;"'!C53",TRUE)</f>
        <v>6.9197536529015238E-2</v>
      </c>
      <c r="Q6" s="37">
        <f t="array" aca="1" ref="Q6" ca="1">INDIRECT("'"&amp;$A6&amp;"'!B54",TRUE)</f>
        <v>-0.15913210000741765</v>
      </c>
      <c r="R6" s="37">
        <f t="array" aca="1" ref="R6" ca="1">INDIRECT("'"&amp;$A6&amp;"'!C54",TRUE)</f>
        <v>-9.8988581630271147E-2</v>
      </c>
    </row>
    <row r="7" spans="1:18" x14ac:dyDescent="0.2">
      <c r="A7" t="s">
        <v>39</v>
      </c>
      <c r="B7" s="33">
        <f t="array" aca="1" ref="B7" ca="1">INDIRECT("'"&amp;$A7&amp;"'!B5",TRUE)</f>
        <v>5</v>
      </c>
      <c r="C7" s="33">
        <f t="array" aca="1" ref="C7" ca="1">INDIRECT("'"&amp;$A7&amp;"'!B6",TRUE)</f>
        <v>4</v>
      </c>
      <c r="D7" s="33">
        <f t="array" aca="1" ref="D7" ca="1">INDIRECT("'"&amp;$A7&amp;"'!B4",TRUE)</f>
        <v>2381</v>
      </c>
      <c r="E7" s="33">
        <f t="array" aca="1" ref="E7" ca="1">INDIRECT("'"&amp;$A7&amp;"'!B2",TRUE)</f>
        <v>2</v>
      </c>
      <c r="F7" s="36">
        <f t="array" aca="1" ref="F7" ca="1">INDIRECT("'"&amp;$A7&amp;"'!B3",TRUE)</f>
        <v>199900</v>
      </c>
      <c r="G7" s="36">
        <f t="array" aca="1" ref="G7" ca="1">INDIRECT("'"&amp;$A7&amp;"'!B35",TRUE)</f>
        <v>14992.5</v>
      </c>
      <c r="H7" s="36">
        <f t="array" aca="1" ref="H7" ca="1">INDIRECT("'"&amp;$A7&amp;"'!C35",TRUE)</f>
        <v>17991</v>
      </c>
      <c r="I7" s="36">
        <f t="array" aca="1" ref="I7" ca="1">INDIRECT("'"&amp;$A7&amp;"'!B34",TRUE)</f>
        <v>1819.3067917071226</v>
      </c>
      <c r="J7" s="36">
        <f t="array" aca="1" ref="J7" ca="1">INDIRECT("'"&amp;$A7&amp;"'!C34",TRUE)</f>
        <v>1768.8997552695394</v>
      </c>
      <c r="K7" s="36">
        <f t="array" aca="1" ref="K7" ca="1">INDIRECT("'"&amp;$A7&amp;"'!B46",TRUE)</f>
        <v>-424.30679170712256</v>
      </c>
      <c r="L7" s="36">
        <f t="array" aca="1" ref="L7" ca="1">INDIRECT("'"&amp;$A7&amp;"'!C46",TRUE)</f>
        <v>-373.89975526953936</v>
      </c>
      <c r="M7" s="36">
        <f t="array" aca="1" ref="M7" ca="1">INDIRECT("'"&amp;$A7&amp;"'!B47",TRUE)</f>
        <v>722.69320829287744</v>
      </c>
      <c r="N7" s="36">
        <f t="array" aca="1" ref="N7" ca="1">INDIRECT("'"&amp;$A7&amp;"'!C47",TRUE)</f>
        <v>773.10024473046064</v>
      </c>
      <c r="O7" s="37">
        <f t="array" aca="1" ref="O7" ca="1">INDIRECT("'"&amp;$A7&amp;"'!B53",TRUE)</f>
        <v>4.3383284139642465E-2</v>
      </c>
      <c r="P7" s="37">
        <f t="array" aca="1" ref="P7" ca="1">INDIRECT("'"&amp;$A7&amp;"'!C53",TRUE)</f>
        <v>4.6409219293474371E-2</v>
      </c>
      <c r="Q7" s="37">
        <f t="array" aca="1" ref="Q7" ca="1">INDIRECT("'"&amp;$A7&amp;"'!B54",TRUE)</f>
        <v>-0.33961524098619111</v>
      </c>
      <c r="R7" s="37">
        <f t="array" aca="1" ref="R7" ca="1">INDIRECT("'"&amp;$A7&amp;"'!C54",TRUE)</f>
        <v>-0.24939119911258253</v>
      </c>
    </row>
    <row r="8" spans="1:18" x14ac:dyDescent="0.2">
      <c r="A8" t="s">
        <v>40</v>
      </c>
      <c r="B8" s="33">
        <f t="array" aca="1" ref="B8" ca="1">INDIRECT("'"&amp;$A8&amp;"'!B5",TRUE)</f>
        <v>5</v>
      </c>
      <c r="C8" s="33">
        <f t="array" aca="1" ref="C8" ca="1">INDIRECT("'"&amp;$A8&amp;"'!B6",TRUE)</f>
        <v>2</v>
      </c>
      <c r="D8" s="33">
        <f t="array" aca="1" ref="D8" ca="1">INDIRECT("'"&amp;$A8&amp;"'!B4",TRUE)</f>
        <v>1856</v>
      </c>
      <c r="E8" s="33">
        <f t="array" aca="1" ref="E8" ca="1">INDIRECT("'"&amp;$A8&amp;"'!B2",TRUE)</f>
        <v>2</v>
      </c>
      <c r="F8" s="36">
        <f t="array" aca="1" ref="F8" ca="1">INDIRECT("'"&amp;$A8&amp;"'!B3",TRUE)</f>
        <v>259900</v>
      </c>
      <c r="G8" s="36">
        <f t="array" aca="1" ref="G8" ca="1">INDIRECT("'"&amp;$A8&amp;"'!B35",TRUE)</f>
        <v>19492.5</v>
      </c>
      <c r="H8" s="36">
        <f t="array" aca="1" ref="H8" ca="1">INDIRECT("'"&amp;$A8&amp;"'!C35",TRUE)</f>
        <v>23391</v>
      </c>
      <c r="I8" s="36">
        <f t="array" aca="1" ref="I8" ca="1">INDIRECT("'"&amp;$A8&amp;"'!B34",TRUE)</f>
        <v>2365.3718617542831</v>
      </c>
      <c r="J8" s="36">
        <f t="array" aca="1" ref="J8" ca="1">INDIRECT("'"&amp;$A8&amp;"'!C34",TRUE)</f>
        <v>2299.8351495475399</v>
      </c>
      <c r="K8" s="36">
        <f t="array" aca="1" ref="K8" ca="1">INDIRECT("'"&amp;$A8&amp;"'!B46",TRUE)</f>
        <v>-967.37186175428315</v>
      </c>
      <c r="L8" s="36">
        <f t="array" aca="1" ref="L8" ca="1">INDIRECT("'"&amp;$A8&amp;"'!C46",TRUE)</f>
        <v>-901.83514954753991</v>
      </c>
      <c r="M8" s="36">
        <f t="array" aca="1" ref="M8" ca="1">INDIRECT("'"&amp;$A8&amp;"'!B47",TRUE)</f>
        <v>207.62813824571685</v>
      </c>
      <c r="N8" s="36">
        <f t="array" aca="1" ref="N8" ca="1">INDIRECT("'"&amp;$A8&amp;"'!C47",TRUE)</f>
        <v>273.16485045246009</v>
      </c>
      <c r="O8" s="37">
        <f t="array" aca="1" ref="O8" ca="1">INDIRECT("'"&amp;$A8&amp;"'!B53",TRUE)</f>
        <v>9.5865242745232868E-3</v>
      </c>
      <c r="P8" s="37">
        <f t="array" aca="1" ref="P8" ca="1">INDIRECT("'"&amp;$A8&amp;"'!C53",TRUE)</f>
        <v>1.2612459428355217E-2</v>
      </c>
      <c r="Q8" s="37">
        <f t="array" aca="1" ref="Q8" ca="1">INDIRECT("'"&amp;$A8&amp;"'!B54",TRUE)</f>
        <v>-0.595534812930686</v>
      </c>
      <c r="R8" s="37">
        <f t="array" aca="1" ref="R8" ca="1">INDIRECT("'"&amp;$A8&amp;"'!C54",TRUE)</f>
        <v>-0.46265750906632802</v>
      </c>
    </row>
    <row r="9" spans="1:18" x14ac:dyDescent="0.2">
      <c r="A9" t="s">
        <v>41</v>
      </c>
      <c r="B9" s="33">
        <f t="array" aca="1" ref="B9" ca="1">INDIRECT("'"&amp;$A9&amp;"'!B5",TRUE)</f>
        <v>4</v>
      </c>
      <c r="C9" s="33">
        <f t="array" aca="1" ref="C9" ca="1">INDIRECT("'"&amp;$A9&amp;"'!B6",TRUE)</f>
        <v>3</v>
      </c>
      <c r="D9" s="33">
        <f t="array" aca="1" ref="D9" ca="1">INDIRECT("'"&amp;$A9&amp;"'!B4",TRUE)</f>
        <v>1964</v>
      </c>
      <c r="E9" s="33">
        <f t="array" aca="1" ref="E9" ca="1">INDIRECT("'"&amp;$A9&amp;"'!B2",TRUE)</f>
        <v>2</v>
      </c>
      <c r="F9" s="36">
        <f t="array" aca="1" ref="F9" ca="1">INDIRECT("'"&amp;$A9&amp;"'!B3",TRUE)</f>
        <v>210000</v>
      </c>
      <c r="G9" s="36">
        <f t="array" aca="1" ref="G9" ca="1">INDIRECT("'"&amp;$A9&amp;"'!B35",TRUE)</f>
        <v>15750</v>
      </c>
      <c r="H9" s="36">
        <f t="array" aca="1" ref="H9" ca="1">INDIRECT("'"&amp;$A9&amp;"'!C35",TRUE)</f>
        <v>18900</v>
      </c>
      <c r="I9" s="36">
        <f t="array" aca="1" ref="I9" ca="1">INDIRECT("'"&amp;$A9&amp;"'!B34",TRUE)</f>
        <v>1911.2277451650612</v>
      </c>
      <c r="J9" s="36">
        <f t="array" aca="1" ref="J9" ca="1">INDIRECT("'"&amp;$A9&amp;"'!C34",TRUE)</f>
        <v>1858.2738799730025</v>
      </c>
      <c r="K9" s="36">
        <f t="array" aca="1" ref="K9" ca="1">INDIRECT("'"&amp;$A9&amp;"'!B46",TRUE)</f>
        <v>-761.22774516506115</v>
      </c>
      <c r="L9" s="36">
        <f t="array" aca="1" ref="L9" ca="1">INDIRECT("'"&amp;$A9&amp;"'!C46",TRUE)</f>
        <v>-708.27387997300252</v>
      </c>
      <c r="M9" s="36">
        <f t="array" aca="1" ref="M9" ca="1">INDIRECT("'"&amp;$A9&amp;"'!B47",TRUE)</f>
        <v>338.77225483493885</v>
      </c>
      <c r="N9" s="36">
        <f t="array" aca="1" ref="N9" ca="1">INDIRECT("'"&amp;$A9&amp;"'!C47",TRUE)</f>
        <v>391.72612002699748</v>
      </c>
      <c r="O9" s="37">
        <f t="array" aca="1" ref="O9" ca="1">INDIRECT("'"&amp;$A9&amp;"'!B53",TRUE)</f>
        <v>1.9358414561996506E-2</v>
      </c>
      <c r="P9" s="37">
        <f t="array" aca="1" ref="P9" ca="1">INDIRECT("'"&amp;$A9&amp;"'!C53",TRUE)</f>
        <v>2.2384349715828426E-2</v>
      </c>
      <c r="Q9" s="37">
        <f t="array" aca="1" ref="Q9" ca="1">INDIRECT("'"&amp;$A9&amp;"'!B54",TRUE)</f>
        <v>-0.57998304393528466</v>
      </c>
      <c r="R9" s="37">
        <f t="array" aca="1" ref="R9" ca="1">INDIRECT("'"&amp;$A9&amp;"'!C54",TRUE)</f>
        <v>-0.44969770157016037</v>
      </c>
    </row>
    <row r="10" spans="1:18" x14ac:dyDescent="0.2">
      <c r="A10" t="s">
        <v>42</v>
      </c>
      <c r="B10" s="33">
        <f t="array" aca="1" ref="B10" ca="1">INDIRECT("'"&amp;$A10&amp;"'!B5",TRUE)</f>
        <v>4</v>
      </c>
      <c r="C10" s="33">
        <f t="array" aca="1" ref="C10" ca="1">INDIRECT("'"&amp;$A10&amp;"'!B6",TRUE)</f>
        <v>2</v>
      </c>
      <c r="D10" s="33">
        <f t="array" aca="1" ref="D10" ca="1">INDIRECT("'"&amp;$A10&amp;"'!B4",TRUE)</f>
        <v>1056</v>
      </c>
      <c r="E10" s="33">
        <f t="array" aca="1" ref="E10" ca="1">INDIRECT("'"&amp;$A10&amp;"'!B2",TRUE)</f>
        <v>2</v>
      </c>
      <c r="F10" s="36">
        <f t="array" aca="1" ref="F10" ca="1">INDIRECT("'"&amp;$A10&amp;"'!B3",TRUE)</f>
        <v>240000</v>
      </c>
      <c r="G10" s="36">
        <f t="array" aca="1" ref="G10" ca="1">INDIRECT("'"&amp;$A10&amp;"'!B35",TRUE)</f>
        <v>18000</v>
      </c>
      <c r="H10" s="36">
        <f t="array" aca="1" ref="H10" ca="1">INDIRECT("'"&amp;$A10&amp;"'!C35",TRUE)</f>
        <v>21600</v>
      </c>
      <c r="I10" s="36">
        <f t="array" aca="1" ref="I10" ca="1">INDIRECT("'"&amp;$A10&amp;"'!B34",TRUE)</f>
        <v>2184.2602801886414</v>
      </c>
      <c r="J10" s="36">
        <f t="array" aca="1" ref="J10" ca="1">INDIRECT("'"&amp;$A10&amp;"'!C34",TRUE)</f>
        <v>2123.7415771120027</v>
      </c>
      <c r="K10" s="36">
        <f t="array" aca="1" ref="K10" ca="1">INDIRECT("'"&amp;$A10&amp;"'!B46",TRUE)</f>
        <v>-989.26028018864145</v>
      </c>
      <c r="L10" s="36">
        <f t="array" aca="1" ref="L10" ca="1">INDIRECT("'"&amp;$A10&amp;"'!C46",TRUE)</f>
        <v>-928.74157711200269</v>
      </c>
      <c r="M10" s="36">
        <f t="array" aca="1" ref="M10" ca="1">INDIRECT("'"&amp;$A10&amp;"'!B47",TRUE)</f>
        <v>205.73971981135855</v>
      </c>
      <c r="N10" s="36">
        <f t="array" aca="1" ref="N10" ca="1">INDIRECT("'"&amp;$A10&amp;"'!C47",TRUE)</f>
        <v>266.25842288799731</v>
      </c>
      <c r="O10" s="37">
        <f t="array" aca="1" ref="O10" ca="1">INDIRECT("'"&amp;$A10&amp;"'!B53",TRUE)</f>
        <v>1.0286985990567928E-2</v>
      </c>
      <c r="P10" s="37">
        <f t="array" aca="1" ref="P10" ca="1">INDIRECT("'"&amp;$A10&amp;"'!C53",TRUE)</f>
        <v>1.3312921144399865E-2</v>
      </c>
      <c r="Q10" s="37">
        <f t="array" aca="1" ref="Q10" ca="1">INDIRECT("'"&amp;$A10&amp;"'!B54",TRUE)</f>
        <v>-0.65950685345909432</v>
      </c>
      <c r="R10" s="37">
        <f t="array" aca="1" ref="R10" ca="1">INDIRECT("'"&amp;$A10&amp;"'!C54",TRUE)</f>
        <v>-0.51596754284000146</v>
      </c>
    </row>
    <row r="11" spans="1:18" x14ac:dyDescent="0.2">
      <c r="A11" t="s">
        <v>43</v>
      </c>
    </row>
  </sheetData>
  <conditionalFormatting sqref="F2:F1048576">
    <cfRule type="colorScale" priority="1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G2:G1048576">
    <cfRule type="colorScale" priority="12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H2:H1048576">
    <cfRule type="colorScale" priority="11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I2:I1048576">
    <cfRule type="colorScale" priority="10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J2:J1048576">
    <cfRule type="colorScale" priority="9">
      <colorScale>
        <cfvo type="min"/>
        <cfvo type="percentile" val="50"/>
        <cfvo type="max"/>
        <color rgb="FF00B050"/>
        <color rgb="FFFFC000"/>
        <color rgb="FFFF0000"/>
      </colorScale>
    </cfRule>
  </conditionalFormatting>
  <conditionalFormatting sqref="K2:K1048576">
    <cfRule type="colorScale" priority="8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L2:L7 L8:N1048576 N2:N7">
    <cfRule type="colorScale" priority="7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M2:M7">
    <cfRule type="colorScale" priority="2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O2:O10">
    <cfRule type="colorScale" priority="60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P2:P10">
    <cfRule type="colorScale" priority="61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Q2:Q10">
    <cfRule type="colorScale" priority="62">
      <colorScale>
        <cfvo type="min"/>
        <cfvo type="percentile" val="50"/>
        <cfvo type="max"/>
        <color rgb="FFFF0000"/>
        <color rgb="FFFFC000"/>
        <color rgb="FF00B050"/>
      </colorScale>
    </cfRule>
  </conditionalFormatting>
  <conditionalFormatting sqref="R2:R10">
    <cfRule type="colorScale" priority="63">
      <colorScale>
        <cfvo type="min"/>
        <cfvo type="percentile" val="50"/>
        <cfvo type="max"/>
        <color rgb="FFFF0000"/>
        <color rgb="FFFFC000"/>
        <color rgb="FF00B050"/>
      </colorScale>
    </cfRule>
  </conditionalFormatting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0"/>
  <sheetViews>
    <sheetView topLeftCell="A30" zoomScale="125" workbookViewId="0">
      <selection activeCell="B56" sqref="B56:C56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45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3</v>
      </c>
      <c r="E2" t="s">
        <v>49</v>
      </c>
      <c r="F2" s="10">
        <v>0</v>
      </c>
    </row>
    <row r="3" spans="1:6" x14ac:dyDescent="0.2">
      <c r="A3" s="1" t="s">
        <v>21</v>
      </c>
      <c r="B3" s="10">
        <v>220000</v>
      </c>
      <c r="E3" t="s">
        <v>50</v>
      </c>
      <c r="F3" s="10">
        <v>995</v>
      </c>
    </row>
    <row r="4" spans="1:6" x14ac:dyDescent="0.2">
      <c r="A4" s="1" t="s">
        <v>51</v>
      </c>
      <c r="B4">
        <v>2491</v>
      </c>
      <c r="E4" t="s">
        <v>52</v>
      </c>
      <c r="F4" s="10">
        <v>0</v>
      </c>
    </row>
    <row r="5" spans="1:6" x14ac:dyDescent="0.2">
      <c r="A5" s="1" t="s">
        <v>53</v>
      </c>
      <c r="B5">
        <v>6</v>
      </c>
      <c r="E5" t="s">
        <v>54</v>
      </c>
      <c r="F5" s="10">
        <v>0</v>
      </c>
    </row>
    <row r="6" spans="1:6" x14ac:dyDescent="0.2">
      <c r="A6" s="1" t="s">
        <v>55</v>
      </c>
      <c r="B6">
        <v>3</v>
      </c>
      <c r="E6" t="s">
        <v>56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1900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88.317944600562029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8800</v>
      </c>
      <c r="C13" s="12">
        <f>$B$3*Assumptions!$B$5</f>
        <v>8800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7700.0000000000009</v>
      </c>
      <c r="C18" s="12">
        <f>$B$3*C17</f>
        <v>11000</v>
      </c>
    </row>
    <row r="19" spans="1:3" x14ac:dyDescent="0.2">
      <c r="A19" s="2" t="s">
        <v>69</v>
      </c>
      <c r="B19" s="12">
        <f>$B$3-B18</f>
        <v>212300</v>
      </c>
      <c r="C19" s="12">
        <f>$B$3-C18</f>
        <v>209000</v>
      </c>
    </row>
    <row r="20" spans="1:3" x14ac:dyDescent="0.2">
      <c r="A20" s="2" t="s">
        <v>70</v>
      </c>
      <c r="B20" s="12">
        <f>B3*Assumptions!$B$7</f>
        <v>3850.0000000000005</v>
      </c>
      <c r="C20" s="12">
        <v>0</v>
      </c>
    </row>
    <row r="21" spans="1:3" x14ac:dyDescent="0.2">
      <c r="A21" s="2" t="s">
        <v>71</v>
      </c>
      <c r="B21" s="12">
        <f>B19+B20</f>
        <v>216150</v>
      </c>
      <c r="C21" s="12">
        <f>C19+C20</f>
        <v>209000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1326.6581923094404</v>
      </c>
      <c r="C23" s="23">
        <f>PMT(C22/12,Assumptions!$B$9*12, -C21)</f>
        <v>1282.7738246249041</v>
      </c>
    </row>
    <row r="24" spans="1:3" x14ac:dyDescent="0.2">
      <c r="A24" s="2" t="s">
        <v>73</v>
      </c>
      <c r="B24" s="11">
        <f>B21*Assumptions!$B$8</f>
        <v>1837.2750000000001</v>
      </c>
      <c r="C24" s="11">
        <f>C21*Assumptions!$B$8</f>
        <v>1776.5000000000002</v>
      </c>
    </row>
    <row r="25" spans="1:3" x14ac:dyDescent="0.2">
      <c r="A25" s="17" t="s">
        <v>74</v>
      </c>
      <c r="B25" s="11">
        <f>B24/12</f>
        <v>153.10625000000002</v>
      </c>
      <c r="C25" s="11">
        <f>C24/12</f>
        <v>148.04166666666669</v>
      </c>
    </row>
    <row r="26" spans="1:3" x14ac:dyDescent="0.2">
      <c r="A26" s="20" t="s">
        <v>75</v>
      </c>
      <c r="B26" s="21">
        <f>B25*12*Assumptions!$B$9</f>
        <v>55118.25</v>
      </c>
      <c r="C26" s="21">
        <f>C25*12*Assumptions!$B$9</f>
        <v>53295.000000000007</v>
      </c>
    </row>
    <row r="27" spans="1:3" x14ac:dyDescent="0.2">
      <c r="A27" s="1" t="s">
        <v>76</v>
      </c>
      <c r="B27" s="12">
        <f>$B$3*Assumptions!$B$2</f>
        <v>3443</v>
      </c>
      <c r="C27" s="12">
        <f>$B$3*Assumptions!$B$2</f>
        <v>3443</v>
      </c>
    </row>
    <row r="28" spans="1:3" x14ac:dyDescent="0.2">
      <c r="A28" s="2" t="s">
        <v>77</v>
      </c>
      <c r="B28" s="12">
        <f>B27/12</f>
        <v>286.91666666666669</v>
      </c>
      <c r="C28" s="12">
        <f>C27/12</f>
        <v>286.91666666666669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1766.6811089761072</v>
      </c>
      <c r="C31" s="23">
        <f>C23+C25+C30+C28</f>
        <v>1717.7321579582376</v>
      </c>
    </row>
    <row r="32" spans="1:3" x14ac:dyDescent="0.2">
      <c r="A32" s="1" t="s">
        <v>81</v>
      </c>
      <c r="B32" s="23">
        <f>Assumptions!$B$3*B31</f>
        <v>147.22342574800894</v>
      </c>
      <c r="C32" s="23">
        <f>Assumptions!$B$3*C31</f>
        <v>143.1443464965198</v>
      </c>
    </row>
    <row r="33" spans="1:3" x14ac:dyDescent="0.2">
      <c r="A33" s="1" t="s">
        <v>82</v>
      </c>
      <c r="B33" s="11">
        <f>B31*Assumptions!$B$4</f>
        <v>88.334055448805373</v>
      </c>
      <c r="C33" s="11">
        <f>C31*Assumptions!$B$4</f>
        <v>85.886607897911887</v>
      </c>
    </row>
    <row r="34" spans="1:3" x14ac:dyDescent="0.2">
      <c r="A34" s="24" t="s">
        <v>83</v>
      </c>
      <c r="B34" s="29">
        <f>SUM(B31:B33)</f>
        <v>2002.2385901729217</v>
      </c>
      <c r="C34" s="29">
        <f>SUM(C31:C33)</f>
        <v>1946.7631123526694</v>
      </c>
    </row>
    <row r="35" spans="1:3" x14ac:dyDescent="0.2">
      <c r="A35" s="24" t="s">
        <v>84</v>
      </c>
      <c r="B35" s="11">
        <f>SUM(B13,B18)</f>
        <v>16500</v>
      </c>
      <c r="C35" s="11">
        <f>SUM(C13,C18)</f>
        <v>19800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50</v>
      </c>
      <c r="C39" s="19">
        <f>VLOOKUP(B39,$E$2:$F$8,2,FALSE)</f>
        <v>995</v>
      </c>
    </row>
    <row r="40" spans="1:3" x14ac:dyDescent="0.2">
      <c r="A40" s="2" t="s">
        <v>90</v>
      </c>
      <c r="B40" t="s">
        <v>50</v>
      </c>
      <c r="C40" s="19">
        <f>VLOOKUP(B40,$E$2:$F$8,2,FALSE)</f>
        <v>995</v>
      </c>
    </row>
    <row r="41" spans="1:3" x14ac:dyDescent="0.2">
      <c r="A41" s="2" t="s">
        <v>91</v>
      </c>
      <c r="B41" t="s">
        <v>50</v>
      </c>
      <c r="C41" s="19">
        <f>VLOOKUP(B41,$E$2:$F$8,2,FALSE)</f>
        <v>995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2985</v>
      </c>
    </row>
    <row r="45" spans="1:3" x14ac:dyDescent="0.2">
      <c r="A45" s="1" t="s">
        <v>95</v>
      </c>
      <c r="C45" s="12">
        <f>C44-VLOOKUP(B43,A39:C42,3,FALSE)</f>
        <v>1990</v>
      </c>
    </row>
    <row r="46" spans="1:3" x14ac:dyDescent="0.2">
      <c r="A46" s="1" t="s">
        <v>96</v>
      </c>
      <c r="B46" s="12">
        <f>C45-B34</f>
        <v>-12.238590172921704</v>
      </c>
      <c r="C46" s="12">
        <f>C45-C34</f>
        <v>43.236887647330605</v>
      </c>
    </row>
    <row r="47" spans="1:3" x14ac:dyDescent="0.2">
      <c r="A47" s="1" t="s">
        <v>97</v>
      </c>
      <c r="B47" s="12">
        <f>C44-B34</f>
        <v>982.7614098270783</v>
      </c>
      <c r="C47" s="12">
        <f>C44-C34</f>
        <v>1038.2368876473306</v>
      </c>
    </row>
    <row r="48" spans="1:3" x14ac:dyDescent="0.2">
      <c r="A48" s="1" t="s">
        <v>98</v>
      </c>
      <c r="B48" s="12">
        <f>B46*12</f>
        <v>-146.86308207506045</v>
      </c>
      <c r="C48" s="12">
        <f>C46*12</f>
        <v>518.84265176796725</v>
      </c>
    </row>
    <row r="49" spans="1:3" x14ac:dyDescent="0.2">
      <c r="A49" s="1" t="s">
        <v>99</v>
      </c>
      <c r="B49" s="12">
        <f>B47*12</f>
        <v>11793.13691792494</v>
      </c>
      <c r="C49" s="12">
        <f>C47*12</f>
        <v>12458.842651767967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-6.6755946397754754E-4</v>
      </c>
      <c r="C52" s="35">
        <f>C48/$B$3</f>
        <v>2.3583756898543965E-3</v>
      </c>
    </row>
    <row r="53" spans="1:3" x14ac:dyDescent="0.2">
      <c r="A53" s="27" t="s">
        <v>102</v>
      </c>
      <c r="B53" s="35">
        <f>B49/$B$3</f>
        <v>5.3605167808749722E-2</v>
      </c>
      <c r="C53" s="35">
        <f>C49/$B$3</f>
        <v>5.663110296258167E-2</v>
      </c>
    </row>
    <row r="54" spans="1:3" x14ac:dyDescent="0.2">
      <c r="A54" s="27" t="s">
        <v>103</v>
      </c>
      <c r="B54" s="35">
        <f>B48/B$35</f>
        <v>-8.9007928530339658E-3</v>
      </c>
      <c r="C54" s="35">
        <f>C48/C35</f>
        <v>2.6204174331715516E-2</v>
      </c>
    </row>
    <row r="55" spans="1:3" x14ac:dyDescent="0.2">
      <c r="A55" s="27" t="s">
        <v>104</v>
      </c>
      <c r="B55" s="35">
        <f>B49/B$35</f>
        <v>0.71473557078332972</v>
      </c>
      <c r="C55" s="35">
        <f>C49/C$35</f>
        <v>0.62923447736201854</v>
      </c>
    </row>
    <row r="56" spans="1:3" x14ac:dyDescent="0.2">
      <c r="A56" s="27" t="s">
        <v>105</v>
      </c>
      <c r="B56" s="38">
        <f>$B$3/C$44</f>
        <v>73.701842546063645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118" priority="4" stopIfTrue="1" operator="between">
      <formula>1200</formula>
      <formula>1500</formula>
    </cfRule>
    <cfRule type="cellIs" dxfId="117" priority="5" operator="lessThan">
      <formula>1200</formula>
    </cfRule>
    <cfRule type="cellIs" dxfId="116" priority="6" operator="greaterThan">
      <formula>1500</formula>
    </cfRule>
  </conditionalFormatting>
  <conditionalFormatting sqref="B34:C34">
    <cfRule type="cellIs" dxfId="115" priority="3" operator="between">
      <formula>1800</formula>
      <formula>2200</formula>
    </cfRule>
    <cfRule type="cellIs" dxfId="114" priority="9" stopIfTrue="1" operator="lessThan">
      <formula>1800</formula>
    </cfRule>
    <cfRule type="cellIs" dxfId="113" priority="10" stopIfTrue="1" operator="greaterThan">
      <formula>2200</formula>
    </cfRule>
  </conditionalFormatting>
  <conditionalFormatting sqref="B35:C35">
    <cfRule type="cellIs" dxfId="112" priority="2" operator="between">
      <formula>20000</formula>
      <formula>30000</formula>
    </cfRule>
    <cfRule type="cellIs" dxfId="111" priority="7" stopIfTrue="1" operator="lessThan">
      <formula>20000</formula>
    </cfRule>
    <cfRule type="cellIs" dxfId="110" priority="8" stopIfTrue="1" operator="greaterThan">
      <formula>30000</formula>
    </cfRule>
  </conditionalFormatting>
  <conditionalFormatting sqref="B46:C47">
    <cfRule type="cellIs" dxfId="109" priority="1" operator="between">
      <formula>100</formula>
      <formula>-150</formula>
    </cfRule>
    <cfRule type="cellIs" dxfId="108" priority="11" stopIfTrue="1" operator="greaterThan">
      <formula>100</formula>
    </cfRule>
    <cfRule type="cellIs" dxfId="107" priority="12" stopIfTrue="1" operator="lessThan">
      <formula>-150</formula>
    </cfRule>
  </conditionalFormatting>
  <dataValidations count="2">
    <dataValidation type="list" allowBlank="1" showInputMessage="1" showErrorMessage="1" sqref="B43" xr:uid="{00000000-0002-0000-0200-000000000000}">
      <formula1>$A$39:$A$42</formula1>
    </dataValidation>
    <dataValidation type="list" allowBlank="1" showInputMessage="1" showErrorMessage="1" sqref="B39:B42" xr:uid="{00000000-0002-0000-0200-000001000000}">
      <formula1>$E$2:$E$8</formula1>
    </dataValidation>
  </dataValidations>
  <hyperlinks>
    <hyperlink ref="B1" r:id="rId1" xr:uid="{00000000-0004-0000-0200-000000000000}"/>
    <hyperlink ref="E1" r:id="rId2" xr:uid="{00000000-0004-0000-02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0"/>
  <sheetViews>
    <sheetView zoomScale="163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110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212500</v>
      </c>
      <c r="E3" t="s">
        <v>50</v>
      </c>
      <c r="F3" s="10">
        <v>975</v>
      </c>
    </row>
    <row r="4" spans="1:6" x14ac:dyDescent="0.2">
      <c r="A4" s="1" t="s">
        <v>51</v>
      </c>
      <c r="B4">
        <v>1568</v>
      </c>
      <c r="E4" t="s">
        <v>52</v>
      </c>
      <c r="F4" s="10">
        <v>0</v>
      </c>
    </row>
    <row r="5" spans="1:6" x14ac:dyDescent="0.2">
      <c r="A5" s="1" t="s">
        <v>53</v>
      </c>
      <c r="B5">
        <v>6</v>
      </c>
      <c r="E5" t="s">
        <v>54</v>
      </c>
      <c r="F5" s="10">
        <v>0</v>
      </c>
    </row>
    <row r="6" spans="1:6" x14ac:dyDescent="0.2">
      <c r="A6" s="1" t="s">
        <v>55</v>
      </c>
      <c r="B6">
        <v>3</v>
      </c>
      <c r="E6" t="s">
        <v>56</v>
      </c>
      <c r="F6" s="10">
        <v>2173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1909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135.52295918367346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8500</v>
      </c>
      <c r="C13" s="12">
        <f>$B$3*Assumptions!$B$5</f>
        <v>8500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7437.5000000000009</v>
      </c>
      <c r="C18" s="12">
        <f>$B$3*C17</f>
        <v>10625</v>
      </c>
    </row>
    <row r="19" spans="1:3" x14ac:dyDescent="0.2">
      <c r="A19" s="2" t="s">
        <v>69</v>
      </c>
      <c r="B19" s="12">
        <f>$B$3-B18</f>
        <v>205062.5</v>
      </c>
      <c r="C19" s="12">
        <f>$B$3-C18</f>
        <v>201875</v>
      </c>
    </row>
    <row r="20" spans="1:3" x14ac:dyDescent="0.2">
      <c r="A20" s="2" t="s">
        <v>70</v>
      </c>
      <c r="B20" s="12">
        <f>B3*Assumptions!$B$7</f>
        <v>3718.7500000000005</v>
      </c>
      <c r="C20" s="12">
        <v>0</v>
      </c>
    </row>
    <row r="21" spans="1:3" x14ac:dyDescent="0.2">
      <c r="A21" s="2" t="s">
        <v>71</v>
      </c>
      <c r="B21" s="12">
        <f>B19+B20</f>
        <v>208781.25</v>
      </c>
      <c r="C21" s="12">
        <f>C19+C20</f>
        <v>201875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1281.4312084807095</v>
      </c>
      <c r="C23" s="23">
        <f>PMT(C22/12,Assumptions!$B$9*12, -C21)</f>
        <v>1239.0428987854189</v>
      </c>
    </row>
    <row r="24" spans="1:3" x14ac:dyDescent="0.2">
      <c r="A24" s="2" t="s">
        <v>73</v>
      </c>
      <c r="B24" s="11">
        <f>B21*Assumptions!$B$8</f>
        <v>1774.6406250000002</v>
      </c>
      <c r="C24" s="11">
        <f>C21*Assumptions!$B$8</f>
        <v>1715.9375000000002</v>
      </c>
    </row>
    <row r="25" spans="1:3" x14ac:dyDescent="0.2">
      <c r="A25" s="17" t="s">
        <v>74</v>
      </c>
      <c r="B25" s="11">
        <f>B24/12</f>
        <v>147.88671875000003</v>
      </c>
      <c r="C25" s="11">
        <f>C24/12</f>
        <v>142.99479166666669</v>
      </c>
    </row>
    <row r="26" spans="1:3" x14ac:dyDescent="0.2">
      <c r="A26" s="20" t="s">
        <v>75</v>
      </c>
      <c r="B26" s="21">
        <f>B25*12*Assumptions!$B$9</f>
        <v>53239.218750000015</v>
      </c>
      <c r="C26" s="21">
        <f>C25*12*Assumptions!$B$9</f>
        <v>51478.125000000007</v>
      </c>
    </row>
    <row r="27" spans="1:3" x14ac:dyDescent="0.2">
      <c r="A27" s="1" t="s">
        <v>76</v>
      </c>
      <c r="B27" s="12">
        <f>$B$3*Assumptions!$B$2</f>
        <v>3325.625</v>
      </c>
      <c r="C27" s="12">
        <f>$B$3*Assumptions!$B$2</f>
        <v>3325.625</v>
      </c>
    </row>
    <row r="28" spans="1:3" x14ac:dyDescent="0.2">
      <c r="A28" s="2" t="s">
        <v>77</v>
      </c>
      <c r="B28" s="12">
        <f>B27/12</f>
        <v>277.13541666666669</v>
      </c>
      <c r="C28" s="12">
        <f>C27/12</f>
        <v>277.13541666666669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1706.4533438973763</v>
      </c>
      <c r="C31" s="23">
        <f>C23+C25+C30+C28</f>
        <v>1659.1731071187523</v>
      </c>
    </row>
    <row r="32" spans="1:3" x14ac:dyDescent="0.2">
      <c r="A32" s="1" t="s">
        <v>81</v>
      </c>
      <c r="B32" s="23">
        <f>Assumptions!$B$3*B31</f>
        <v>142.20444532478135</v>
      </c>
      <c r="C32" s="23">
        <f>Assumptions!$B$3*C31</f>
        <v>138.26442559322936</v>
      </c>
    </row>
    <row r="33" spans="1:3" x14ac:dyDescent="0.2">
      <c r="A33" s="1" t="s">
        <v>82</v>
      </c>
      <c r="B33" s="11">
        <f>B31*Assumptions!$B$4</f>
        <v>85.322667194868814</v>
      </c>
      <c r="C33" s="11">
        <f>C31*Assumptions!$B$4</f>
        <v>82.958655355937623</v>
      </c>
    </row>
    <row r="34" spans="1:3" x14ac:dyDescent="0.2">
      <c r="A34" s="24" t="s">
        <v>83</v>
      </c>
      <c r="B34" s="29">
        <f>SUM(B31:B33)</f>
        <v>1933.9804564170263</v>
      </c>
      <c r="C34" s="29">
        <f>SUM(C31:C33)</f>
        <v>1880.3961880679194</v>
      </c>
    </row>
    <row r="35" spans="1:3" x14ac:dyDescent="0.2">
      <c r="A35" s="24" t="s">
        <v>84</v>
      </c>
      <c r="B35" s="11">
        <f>SUM(B13,B18)</f>
        <v>15937.5</v>
      </c>
      <c r="C35" s="11">
        <f>SUM(C13,C18)</f>
        <v>19125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50</v>
      </c>
      <c r="C39" s="19">
        <f>VLOOKUP(B39,$E$2:$F$8,2,FALSE)</f>
        <v>975</v>
      </c>
    </row>
    <row r="40" spans="1:3" x14ac:dyDescent="0.2">
      <c r="A40" s="2" t="s">
        <v>90</v>
      </c>
      <c r="B40" t="s">
        <v>56</v>
      </c>
      <c r="C40" s="19">
        <f>VLOOKUP(B40,$E$2:$F$8,2,FALSE)</f>
        <v>2173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3148</v>
      </c>
    </row>
    <row r="45" spans="1:3" x14ac:dyDescent="0.2">
      <c r="A45" s="1" t="s">
        <v>95</v>
      </c>
      <c r="C45" s="12">
        <f>C44-VLOOKUP(B43,A39:C42,3,FALSE)</f>
        <v>2173</v>
      </c>
    </row>
    <row r="46" spans="1:3" x14ac:dyDescent="0.2">
      <c r="A46" s="1" t="s">
        <v>96</v>
      </c>
      <c r="B46" s="12">
        <f>C45-B34</f>
        <v>239.01954358297371</v>
      </c>
      <c r="C46" s="12">
        <f>C45-C34</f>
        <v>292.60381193208059</v>
      </c>
    </row>
    <row r="47" spans="1:3" x14ac:dyDescent="0.2">
      <c r="A47" s="1" t="s">
        <v>97</v>
      </c>
      <c r="B47" s="12">
        <f>C44-B34</f>
        <v>1214.0195435829737</v>
      </c>
      <c r="C47" s="12">
        <f>C44-C34</f>
        <v>1267.6038119320806</v>
      </c>
    </row>
    <row r="48" spans="1:3" x14ac:dyDescent="0.2">
      <c r="A48" s="1" t="s">
        <v>98</v>
      </c>
      <c r="B48" s="12">
        <f>B46*12</f>
        <v>2868.2345229956845</v>
      </c>
      <c r="C48" s="12">
        <f>C46*12</f>
        <v>3511.2457431849671</v>
      </c>
    </row>
    <row r="49" spans="1:3" x14ac:dyDescent="0.2">
      <c r="A49" s="1" t="s">
        <v>99</v>
      </c>
      <c r="B49" s="12">
        <f>B47*12</f>
        <v>14568.234522995685</v>
      </c>
      <c r="C49" s="12">
        <f>C47*12</f>
        <v>15211.245743184967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1.3497574225862044E-2</v>
      </c>
      <c r="C52" s="35">
        <f>C48/$B$3</f>
        <v>1.6523509379693962E-2</v>
      </c>
    </row>
    <row r="53" spans="1:3" x14ac:dyDescent="0.2">
      <c r="A53" s="27" t="s">
        <v>102</v>
      </c>
      <c r="B53" s="35">
        <f>B49/$B$3</f>
        <v>6.8556397755273807E-2</v>
      </c>
      <c r="C53" s="35">
        <f>C49/$B$3</f>
        <v>7.1582332909105734E-2</v>
      </c>
    </row>
    <row r="54" spans="1:3" x14ac:dyDescent="0.2">
      <c r="A54" s="27" t="s">
        <v>103</v>
      </c>
      <c r="B54" s="35">
        <f>B48/B$35</f>
        <v>0.17996765634482725</v>
      </c>
      <c r="C54" s="35">
        <f>C48/C35</f>
        <v>0.18359454866326624</v>
      </c>
    </row>
    <row r="55" spans="1:3" x14ac:dyDescent="0.2">
      <c r="A55" s="27" t="s">
        <v>104</v>
      </c>
      <c r="B55" s="35">
        <f>B49/B$35</f>
        <v>0.9140853034036508</v>
      </c>
      <c r="C55" s="35">
        <f>C49/C$35</f>
        <v>0.79535925454561918</v>
      </c>
    </row>
    <row r="56" spans="1:3" x14ac:dyDescent="0.2">
      <c r="A56" s="27" t="s">
        <v>105</v>
      </c>
      <c r="B56" s="38">
        <f>$B$3/C$44</f>
        <v>67.503176620076232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106" priority="4" stopIfTrue="1" operator="between">
      <formula>1200</formula>
      <formula>1500</formula>
    </cfRule>
    <cfRule type="cellIs" dxfId="105" priority="5" operator="lessThan">
      <formula>1200</formula>
    </cfRule>
    <cfRule type="cellIs" dxfId="104" priority="6" operator="greaterThan">
      <formula>1500</formula>
    </cfRule>
  </conditionalFormatting>
  <conditionalFormatting sqref="B34:C34">
    <cfRule type="cellIs" dxfId="103" priority="3" operator="between">
      <formula>1800</formula>
      <formula>2200</formula>
    </cfRule>
    <cfRule type="cellIs" dxfId="102" priority="9" stopIfTrue="1" operator="lessThan">
      <formula>1800</formula>
    </cfRule>
    <cfRule type="cellIs" dxfId="101" priority="10" stopIfTrue="1" operator="greaterThan">
      <formula>2200</formula>
    </cfRule>
  </conditionalFormatting>
  <conditionalFormatting sqref="B35:C35">
    <cfRule type="cellIs" dxfId="100" priority="2" operator="between">
      <formula>20000</formula>
      <formula>30000</formula>
    </cfRule>
    <cfRule type="cellIs" dxfId="99" priority="7" stopIfTrue="1" operator="lessThan">
      <formula>20000</formula>
    </cfRule>
    <cfRule type="cellIs" dxfId="98" priority="8" stopIfTrue="1" operator="greaterThan">
      <formula>30000</formula>
    </cfRule>
  </conditionalFormatting>
  <conditionalFormatting sqref="B46:C47">
    <cfRule type="cellIs" dxfId="97" priority="1" operator="between">
      <formula>100</formula>
      <formula>-150</formula>
    </cfRule>
    <cfRule type="cellIs" dxfId="96" priority="11" stopIfTrue="1" operator="greaterThan">
      <formula>100</formula>
    </cfRule>
    <cfRule type="cellIs" dxfId="95" priority="12" stopIfTrue="1" operator="lessThan">
      <formula>-150</formula>
    </cfRule>
  </conditionalFormatting>
  <dataValidations disablePrompts="1" count="2">
    <dataValidation type="list" allowBlank="1" showInputMessage="1" showErrorMessage="1" sqref="B39:B42" xr:uid="{00000000-0002-0000-0300-000000000000}">
      <formula1>$E$2:$E$8</formula1>
    </dataValidation>
    <dataValidation type="list" allowBlank="1" showInputMessage="1" showErrorMessage="1" sqref="B43" xr:uid="{00000000-0002-0000-0300-000001000000}">
      <formula1>$A$39:$A$42</formula1>
    </dataValidation>
  </dataValidations>
  <hyperlinks>
    <hyperlink ref="B1" r:id="rId1" xr:uid="{00000000-0004-0000-0300-000000000000}"/>
    <hyperlink ref="E1" r:id="rId2" xr:uid="{00000000-0004-0000-03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60"/>
  <sheetViews>
    <sheetView zoomScale="125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111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169000</v>
      </c>
      <c r="E3" t="s">
        <v>50</v>
      </c>
      <c r="F3" s="10">
        <v>1100</v>
      </c>
    </row>
    <row r="4" spans="1:6" x14ac:dyDescent="0.2">
      <c r="A4" s="1" t="s">
        <v>51</v>
      </c>
      <c r="B4">
        <v>2544</v>
      </c>
      <c r="E4" t="s">
        <v>52</v>
      </c>
      <c r="F4" s="10">
        <v>1370</v>
      </c>
    </row>
    <row r="5" spans="1:6" x14ac:dyDescent="0.2">
      <c r="A5" s="1" t="s">
        <v>53</v>
      </c>
      <c r="B5">
        <v>5</v>
      </c>
      <c r="E5" t="s">
        <v>54</v>
      </c>
      <c r="F5" s="10">
        <v>0</v>
      </c>
    </row>
    <row r="6" spans="1:6" x14ac:dyDescent="0.2">
      <c r="A6" s="1" t="s">
        <v>55</v>
      </c>
      <c r="B6">
        <v>2</v>
      </c>
      <c r="E6" t="s">
        <v>112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1905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66.430817610062888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6760</v>
      </c>
      <c r="C13" s="12">
        <f>$B$3*Assumptions!$B$5</f>
        <v>6760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5915.0000000000009</v>
      </c>
      <c r="C18" s="12">
        <f>$B$3*C17</f>
        <v>8450</v>
      </c>
    </row>
    <row r="19" spans="1:3" x14ac:dyDescent="0.2">
      <c r="A19" s="2" t="s">
        <v>69</v>
      </c>
      <c r="B19" s="12">
        <f>$B$3-B18</f>
        <v>163085</v>
      </c>
      <c r="C19" s="12">
        <f>$B$3-C18</f>
        <v>160550</v>
      </c>
    </row>
    <row r="20" spans="1:3" x14ac:dyDescent="0.2">
      <c r="A20" s="2" t="s">
        <v>70</v>
      </c>
      <c r="B20" s="12">
        <f>B3*Assumptions!$B$7</f>
        <v>2957.5000000000005</v>
      </c>
      <c r="C20" s="12">
        <v>0</v>
      </c>
    </row>
    <row r="21" spans="1:3" x14ac:dyDescent="0.2">
      <c r="A21" s="2" t="s">
        <v>71</v>
      </c>
      <c r="B21" s="12">
        <f>B19+B20</f>
        <v>166042.5</v>
      </c>
      <c r="C21" s="12">
        <f>C19+C20</f>
        <v>160550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1019.1147022740702</v>
      </c>
      <c r="C23" s="23">
        <f>PMT(C22/12,Assumptions!$B$9*12, -C21)</f>
        <v>985.40352891640373</v>
      </c>
    </row>
    <row r="24" spans="1:3" x14ac:dyDescent="0.2">
      <c r="A24" s="2" t="s">
        <v>73</v>
      </c>
      <c r="B24" s="11">
        <f>B21*Assumptions!$B$8</f>
        <v>1411.3612500000002</v>
      </c>
      <c r="C24" s="11">
        <f>C21*Assumptions!$B$8</f>
        <v>1364.6750000000002</v>
      </c>
    </row>
    <row r="25" spans="1:3" x14ac:dyDescent="0.2">
      <c r="A25" s="17" t="s">
        <v>74</v>
      </c>
      <c r="B25" s="11">
        <f>B24/12</f>
        <v>117.61343750000002</v>
      </c>
      <c r="C25" s="11">
        <f>C24/12</f>
        <v>113.72291666666668</v>
      </c>
    </row>
    <row r="26" spans="1:3" x14ac:dyDescent="0.2">
      <c r="A26" s="20" t="s">
        <v>75</v>
      </c>
      <c r="B26" s="21">
        <f>B25*12*Assumptions!$B$9</f>
        <v>42340.837500000001</v>
      </c>
      <c r="C26" s="21">
        <f>C25*12*Assumptions!$B$9</f>
        <v>40940.250000000007</v>
      </c>
    </row>
    <row r="27" spans="1:3" x14ac:dyDescent="0.2">
      <c r="A27" s="1" t="s">
        <v>76</v>
      </c>
      <c r="B27" s="12">
        <f>$B$3*Assumptions!$B$2</f>
        <v>2644.85</v>
      </c>
      <c r="C27" s="12">
        <f>$B$3*Assumptions!$B$2</f>
        <v>2644.85</v>
      </c>
    </row>
    <row r="28" spans="1:3" x14ac:dyDescent="0.2">
      <c r="A28" s="2" t="s">
        <v>77</v>
      </c>
      <c r="B28" s="12">
        <f>B27/12</f>
        <v>220.40416666666667</v>
      </c>
      <c r="C28" s="12">
        <f>C27/12</f>
        <v>220.40416666666667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1357.1323064407368</v>
      </c>
      <c r="C31" s="23">
        <f>C23+C25+C30+C28</f>
        <v>1319.530612249737</v>
      </c>
    </row>
    <row r="32" spans="1:3" x14ac:dyDescent="0.2">
      <c r="A32" s="1" t="s">
        <v>81</v>
      </c>
      <c r="B32" s="23">
        <f>Assumptions!$B$3*B31</f>
        <v>113.0943588700614</v>
      </c>
      <c r="C32" s="23">
        <f>Assumptions!$B$3*C31</f>
        <v>109.96088435414475</v>
      </c>
    </row>
    <row r="33" spans="1:3" x14ac:dyDescent="0.2">
      <c r="A33" s="1" t="s">
        <v>82</v>
      </c>
      <c r="B33" s="11">
        <f>B31*Assumptions!$B$4</f>
        <v>67.856615322036845</v>
      </c>
      <c r="C33" s="11">
        <f>C31*Assumptions!$B$4</f>
        <v>65.976530612486854</v>
      </c>
    </row>
    <row r="34" spans="1:3" x14ac:dyDescent="0.2">
      <c r="A34" s="24" t="s">
        <v>83</v>
      </c>
      <c r="B34" s="29">
        <f>SUM(B31:B33)</f>
        <v>1538.0832806328349</v>
      </c>
      <c r="C34" s="29">
        <f>SUM(C31:C33)</f>
        <v>1495.4680272163687</v>
      </c>
    </row>
    <row r="35" spans="1:3" x14ac:dyDescent="0.2">
      <c r="A35" s="24" t="s">
        <v>84</v>
      </c>
      <c r="B35" s="11">
        <f>SUM(B13,B18)</f>
        <v>12675</v>
      </c>
      <c r="C35" s="11">
        <f>SUM(C13,C18)</f>
        <v>15210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52</v>
      </c>
      <c r="C39" s="19">
        <f>VLOOKUP(B39,$E$2:$F$8,2,FALSE)</f>
        <v>1370</v>
      </c>
    </row>
    <row r="40" spans="1:3" x14ac:dyDescent="0.2">
      <c r="A40" s="2" t="s">
        <v>90</v>
      </c>
      <c r="B40" t="s">
        <v>50</v>
      </c>
      <c r="C40" s="19">
        <f>VLOOKUP(B40,$E$2:$F$8,2,FALSE)</f>
        <v>1100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90</v>
      </c>
      <c r="C43" s="39"/>
    </row>
    <row r="44" spans="1:3" x14ac:dyDescent="0.2">
      <c r="A44" s="1" t="s">
        <v>94</v>
      </c>
      <c r="C44" s="12">
        <f>SUM(C39:C42)</f>
        <v>2470</v>
      </c>
    </row>
    <row r="45" spans="1:3" x14ac:dyDescent="0.2">
      <c r="A45" s="1" t="s">
        <v>95</v>
      </c>
      <c r="C45" s="12">
        <f>C44-VLOOKUP(B43,A39:C42,3,FALSE)</f>
        <v>1370</v>
      </c>
    </row>
    <row r="46" spans="1:3" x14ac:dyDescent="0.2">
      <c r="A46" s="1" t="s">
        <v>96</v>
      </c>
      <c r="B46" s="12">
        <f>C45-B34</f>
        <v>-168.08328063283489</v>
      </c>
      <c r="C46" s="12">
        <f>C45-C34</f>
        <v>-125.46802721636868</v>
      </c>
    </row>
    <row r="47" spans="1:3" x14ac:dyDescent="0.2">
      <c r="A47" s="1" t="s">
        <v>97</v>
      </c>
      <c r="B47" s="12">
        <f>C44-B34</f>
        <v>931.91671936716511</v>
      </c>
      <c r="C47" s="12">
        <f>C44-C34</f>
        <v>974.53197278363132</v>
      </c>
    </row>
    <row r="48" spans="1:3" x14ac:dyDescent="0.2">
      <c r="A48" s="1" t="s">
        <v>98</v>
      </c>
      <c r="B48" s="12">
        <f>B46*12</f>
        <v>-2016.9993675940186</v>
      </c>
      <c r="C48" s="12">
        <f>C46*12</f>
        <v>-1505.6163265964242</v>
      </c>
    </row>
    <row r="49" spans="1:3" x14ac:dyDescent="0.2">
      <c r="A49" s="1" t="s">
        <v>99</v>
      </c>
      <c r="B49" s="12">
        <f>B47*12</f>
        <v>11183.000632405981</v>
      </c>
      <c r="C49" s="12">
        <f>C47*12</f>
        <v>11694.383673403576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-1.1934907500556324E-2</v>
      </c>
      <c r="C52" s="35">
        <f>C48/$B$3</f>
        <v>-8.9089723467244038E-3</v>
      </c>
    </row>
    <row r="53" spans="1:3" x14ac:dyDescent="0.2">
      <c r="A53" s="27" t="s">
        <v>102</v>
      </c>
      <c r="B53" s="35">
        <f>B49/$B$3</f>
        <v>6.6171601375183325E-2</v>
      </c>
      <c r="C53" s="35">
        <f>C49/$B$3</f>
        <v>6.9197536529015238E-2</v>
      </c>
    </row>
    <row r="54" spans="1:3" x14ac:dyDescent="0.2">
      <c r="A54" s="27" t="s">
        <v>103</v>
      </c>
      <c r="B54" s="35">
        <f>B48/B$35</f>
        <v>-0.15913210000741765</v>
      </c>
      <c r="C54" s="35">
        <f>C48/C35</f>
        <v>-9.8988581630271147E-2</v>
      </c>
    </row>
    <row r="55" spans="1:3" x14ac:dyDescent="0.2">
      <c r="A55" s="27" t="s">
        <v>104</v>
      </c>
      <c r="B55" s="35">
        <f>B49/B$35</f>
        <v>0.88228801833577764</v>
      </c>
      <c r="C55" s="35">
        <f>C49/C$35</f>
        <v>0.76886151698905825</v>
      </c>
    </row>
    <row r="56" spans="1:3" x14ac:dyDescent="0.2">
      <c r="A56" s="27" t="s">
        <v>105</v>
      </c>
      <c r="B56" s="38">
        <f>$B$3/C$44</f>
        <v>68.421052631578945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94" priority="4" operator="between">
      <formula>1300</formula>
      <formula>1500</formula>
    </cfRule>
    <cfRule type="cellIs" dxfId="93" priority="5" operator="lessThan">
      <formula>1200</formula>
    </cfRule>
    <cfRule type="cellIs" dxfId="92" priority="6" operator="greaterThan">
      <formula>1500</formula>
    </cfRule>
  </conditionalFormatting>
  <conditionalFormatting sqref="B34:C34">
    <cfRule type="cellIs" dxfId="91" priority="3" operator="between">
      <formula>1800</formula>
      <formula>2200</formula>
    </cfRule>
    <cfRule type="cellIs" dxfId="90" priority="9" stopIfTrue="1" operator="lessThan">
      <formula>1800</formula>
    </cfRule>
    <cfRule type="cellIs" dxfId="89" priority="10" stopIfTrue="1" operator="greaterThan">
      <formula>2200</formula>
    </cfRule>
  </conditionalFormatting>
  <conditionalFormatting sqref="B35:C35">
    <cfRule type="cellIs" dxfId="88" priority="2" operator="between">
      <formula>20000</formula>
      <formula>30000</formula>
    </cfRule>
    <cfRule type="cellIs" dxfId="87" priority="7" stopIfTrue="1" operator="lessThan">
      <formula>20000</formula>
    </cfRule>
    <cfRule type="cellIs" dxfId="86" priority="8" stopIfTrue="1" operator="greaterThan">
      <formula>30000</formula>
    </cfRule>
  </conditionalFormatting>
  <conditionalFormatting sqref="B46:C47">
    <cfRule type="cellIs" dxfId="85" priority="1" operator="between">
      <formula>100</formula>
      <formula>-150</formula>
    </cfRule>
    <cfRule type="cellIs" dxfId="84" priority="11" stopIfTrue="1" operator="greaterThan">
      <formula>100</formula>
    </cfRule>
    <cfRule type="cellIs" dxfId="83" priority="12" stopIfTrue="1" operator="lessThan">
      <formula>-150</formula>
    </cfRule>
  </conditionalFormatting>
  <dataValidations count="2">
    <dataValidation type="list" allowBlank="1" showInputMessage="1" showErrorMessage="1" sqref="B43" xr:uid="{00000000-0002-0000-0400-000000000000}">
      <formula1>$A$39:$A$42</formula1>
    </dataValidation>
    <dataValidation type="list" allowBlank="1" showInputMessage="1" showErrorMessage="1" sqref="B39:B42" xr:uid="{00000000-0002-0000-0400-000001000000}">
      <formula1>$E$2:$E$8</formula1>
    </dataValidation>
  </dataValidations>
  <hyperlinks>
    <hyperlink ref="B1" r:id="rId1" xr:uid="{00000000-0004-0000-0400-000000000000}"/>
    <hyperlink ref="E1" r:id="rId2" xr:uid="{00000000-0004-0000-04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60"/>
  <sheetViews>
    <sheetView zoomScale="125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113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210000</v>
      </c>
      <c r="E3" t="s">
        <v>50</v>
      </c>
      <c r="F3" s="10">
        <v>1100</v>
      </c>
    </row>
    <row r="4" spans="1:6" x14ac:dyDescent="0.2">
      <c r="A4" s="1" t="s">
        <v>51</v>
      </c>
      <c r="B4">
        <v>1964</v>
      </c>
      <c r="E4" t="s">
        <v>52</v>
      </c>
      <c r="F4" s="10">
        <v>0</v>
      </c>
    </row>
    <row r="5" spans="1:6" x14ac:dyDescent="0.2">
      <c r="A5" s="1" t="s">
        <v>53</v>
      </c>
      <c r="B5">
        <v>4</v>
      </c>
      <c r="E5" t="s">
        <v>54</v>
      </c>
      <c r="F5" s="10">
        <v>1150</v>
      </c>
    </row>
    <row r="6" spans="1:6" x14ac:dyDescent="0.2">
      <c r="A6" s="1" t="s">
        <v>55</v>
      </c>
      <c r="B6">
        <v>3</v>
      </c>
      <c r="E6" t="s">
        <v>112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1918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106.92464358452139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8400</v>
      </c>
      <c r="C13" s="12">
        <f>$B$3*Assumptions!$B$5</f>
        <v>8400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7350.0000000000009</v>
      </c>
      <c r="C18" s="12">
        <f>$B$3*C17</f>
        <v>10500</v>
      </c>
    </row>
    <row r="19" spans="1:3" x14ac:dyDescent="0.2">
      <c r="A19" s="2" t="s">
        <v>69</v>
      </c>
      <c r="B19" s="12">
        <f>$B$3-B18</f>
        <v>202650</v>
      </c>
      <c r="C19" s="12">
        <f>$B$3-C18</f>
        <v>199500</v>
      </c>
    </row>
    <row r="20" spans="1:3" x14ac:dyDescent="0.2">
      <c r="A20" s="2" t="s">
        <v>70</v>
      </c>
      <c r="B20" s="12">
        <f>B3*Assumptions!$B$7</f>
        <v>3675.0000000000005</v>
      </c>
      <c r="C20" s="12">
        <v>0</v>
      </c>
    </row>
    <row r="21" spans="1:3" x14ac:dyDescent="0.2">
      <c r="A21" s="2" t="s">
        <v>71</v>
      </c>
      <c r="B21" s="12">
        <f>B19+B20</f>
        <v>206325</v>
      </c>
      <c r="C21" s="12">
        <f>C19+C20</f>
        <v>199500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1266.3555472044659</v>
      </c>
      <c r="C23" s="23">
        <f>PMT(C22/12,Assumptions!$B$9*12, -C21)</f>
        <v>1224.4659235055904</v>
      </c>
    </row>
    <row r="24" spans="1:3" x14ac:dyDescent="0.2">
      <c r="A24" s="2" t="s">
        <v>73</v>
      </c>
      <c r="B24" s="11">
        <f>B21*Assumptions!$B$8</f>
        <v>1753.7625</v>
      </c>
      <c r="C24" s="11">
        <f>C21*Assumptions!$B$8</f>
        <v>1695.7500000000002</v>
      </c>
    </row>
    <row r="25" spans="1:3" x14ac:dyDescent="0.2">
      <c r="A25" s="17" t="s">
        <v>74</v>
      </c>
      <c r="B25" s="11">
        <f>B24/12</f>
        <v>146.14687499999999</v>
      </c>
      <c r="C25" s="11">
        <f>C24/12</f>
        <v>141.31250000000003</v>
      </c>
    </row>
    <row r="26" spans="1:3" x14ac:dyDescent="0.2">
      <c r="A26" s="20" t="s">
        <v>75</v>
      </c>
      <c r="B26" s="21">
        <f>B25*12*Assumptions!$B$9</f>
        <v>52612.874999999993</v>
      </c>
      <c r="C26" s="21">
        <f>C25*12*Assumptions!$B$9</f>
        <v>50872.500000000015</v>
      </c>
    </row>
    <row r="27" spans="1:3" x14ac:dyDescent="0.2">
      <c r="A27" s="1" t="s">
        <v>76</v>
      </c>
      <c r="B27" s="12">
        <f>$B$3*Assumptions!$B$2</f>
        <v>3286.5</v>
      </c>
      <c r="C27" s="12">
        <f>$B$3*Assumptions!$B$2</f>
        <v>3286.5</v>
      </c>
    </row>
    <row r="28" spans="1:3" x14ac:dyDescent="0.2">
      <c r="A28" s="2" t="s">
        <v>77</v>
      </c>
      <c r="B28" s="12">
        <f>B27/12</f>
        <v>273.875</v>
      </c>
      <c r="C28" s="12">
        <f>C27/12</f>
        <v>273.875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1686.3774222044658</v>
      </c>
      <c r="C31" s="23">
        <f>C23+C25+C30+C28</f>
        <v>1639.6534235055904</v>
      </c>
    </row>
    <row r="32" spans="1:3" x14ac:dyDescent="0.2">
      <c r="A32" s="1" t="s">
        <v>81</v>
      </c>
      <c r="B32" s="23">
        <f>Assumptions!$B$3*B31</f>
        <v>140.53145185037215</v>
      </c>
      <c r="C32" s="23">
        <f>Assumptions!$B$3*C31</f>
        <v>136.63778529213252</v>
      </c>
    </row>
    <row r="33" spans="1:3" x14ac:dyDescent="0.2">
      <c r="A33" s="1" t="s">
        <v>82</v>
      </c>
      <c r="B33" s="11">
        <f>B31*Assumptions!$B$4</f>
        <v>84.318871110223299</v>
      </c>
      <c r="C33" s="11">
        <f>C31*Assumptions!$B$4</f>
        <v>81.982671175279521</v>
      </c>
    </row>
    <row r="34" spans="1:3" x14ac:dyDescent="0.2">
      <c r="A34" s="24" t="s">
        <v>83</v>
      </c>
      <c r="B34" s="29">
        <f>SUM(B31:B33)</f>
        <v>1911.2277451650612</v>
      </c>
      <c r="C34" s="29">
        <f>SUM(C31:C33)</f>
        <v>1858.2738799730025</v>
      </c>
    </row>
    <row r="35" spans="1:3" x14ac:dyDescent="0.2">
      <c r="A35" s="24" t="s">
        <v>84</v>
      </c>
      <c r="B35" s="11">
        <f>SUM(B13,B18)</f>
        <v>15750</v>
      </c>
      <c r="C35" s="11">
        <f>SUM(C13,C18)</f>
        <v>18900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54</v>
      </c>
      <c r="C39" s="19">
        <f>VLOOKUP(B39,$E$2:$F$8,2,FALSE)</f>
        <v>1150</v>
      </c>
    </row>
    <row r="40" spans="1:3" x14ac:dyDescent="0.2">
      <c r="A40" s="2" t="s">
        <v>90</v>
      </c>
      <c r="B40" t="s">
        <v>50</v>
      </c>
      <c r="C40" s="19">
        <f>VLOOKUP(B40,$E$2:$F$8,2,FALSE)</f>
        <v>1100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90</v>
      </c>
      <c r="C43" s="39"/>
    </row>
    <row r="44" spans="1:3" x14ac:dyDescent="0.2">
      <c r="A44" s="1" t="s">
        <v>94</v>
      </c>
      <c r="C44" s="12">
        <f>SUM(C39:C42)</f>
        <v>2250</v>
      </c>
    </row>
    <row r="45" spans="1:3" x14ac:dyDescent="0.2">
      <c r="A45" s="1" t="s">
        <v>95</v>
      </c>
      <c r="C45" s="12">
        <f>C44-VLOOKUP(B43,A39:C42,3,FALSE)</f>
        <v>1150</v>
      </c>
    </row>
    <row r="46" spans="1:3" x14ac:dyDescent="0.2">
      <c r="A46" s="1" t="s">
        <v>96</v>
      </c>
      <c r="B46" s="12">
        <f>C45-B34</f>
        <v>-761.22774516506115</v>
      </c>
      <c r="C46" s="12">
        <f>C45-C34</f>
        <v>-708.27387997300252</v>
      </c>
    </row>
    <row r="47" spans="1:3" x14ac:dyDescent="0.2">
      <c r="A47" s="1" t="s">
        <v>97</v>
      </c>
      <c r="B47" s="12">
        <f>C44-B34</f>
        <v>338.77225483493885</v>
      </c>
      <c r="C47" s="12">
        <f>C44-C34</f>
        <v>391.72612002699748</v>
      </c>
    </row>
    <row r="48" spans="1:3" x14ac:dyDescent="0.2">
      <c r="A48" s="1" t="s">
        <v>98</v>
      </c>
      <c r="B48" s="12">
        <f>B46*12</f>
        <v>-9134.7329419807338</v>
      </c>
      <c r="C48" s="12">
        <f>C46*12</f>
        <v>-8499.2865596760312</v>
      </c>
    </row>
    <row r="49" spans="1:3" x14ac:dyDescent="0.2">
      <c r="A49" s="1" t="s">
        <v>99</v>
      </c>
      <c r="B49" s="12">
        <f>B47*12</f>
        <v>4065.2670580192662</v>
      </c>
      <c r="C49" s="12">
        <f>C47*12</f>
        <v>4700.7134403239697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-4.3498728295146352E-2</v>
      </c>
      <c r="C52" s="35">
        <f>C48/$B$3</f>
        <v>-4.0472793141314432E-2</v>
      </c>
    </row>
    <row r="53" spans="1:3" x14ac:dyDescent="0.2">
      <c r="A53" s="27" t="s">
        <v>102</v>
      </c>
      <c r="B53" s="35">
        <f>B49/$B$3</f>
        <v>1.9358414561996506E-2</v>
      </c>
      <c r="C53" s="35">
        <f>C49/$B$3</f>
        <v>2.2384349715828426E-2</v>
      </c>
    </row>
    <row r="54" spans="1:3" x14ac:dyDescent="0.2">
      <c r="A54" s="27" t="s">
        <v>103</v>
      </c>
      <c r="B54" s="35">
        <f>B48/B$35</f>
        <v>-0.57998304393528466</v>
      </c>
      <c r="C54" s="35">
        <f>C48/C35</f>
        <v>-0.44969770157016037</v>
      </c>
    </row>
    <row r="55" spans="1:3" x14ac:dyDescent="0.2">
      <c r="A55" s="27" t="s">
        <v>104</v>
      </c>
      <c r="B55" s="35">
        <f>B49/B$35</f>
        <v>0.2581121941599534</v>
      </c>
      <c r="C55" s="35">
        <f>C49/C$35</f>
        <v>0.24871499684253809</v>
      </c>
    </row>
    <row r="56" spans="1:3" x14ac:dyDescent="0.2">
      <c r="A56" s="27" t="s">
        <v>105</v>
      </c>
      <c r="B56" s="38">
        <f>$B$3/C$44</f>
        <v>93.333333333333329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82" priority="4" stopIfTrue="1" operator="between">
      <formula>1200</formula>
      <formula>1500</formula>
    </cfRule>
    <cfRule type="cellIs" dxfId="81" priority="5" operator="lessThan">
      <formula>1200</formula>
    </cfRule>
    <cfRule type="cellIs" dxfId="80" priority="6" operator="greaterThan">
      <formula>1500</formula>
    </cfRule>
  </conditionalFormatting>
  <conditionalFormatting sqref="B34:C34">
    <cfRule type="cellIs" dxfId="79" priority="3" operator="between">
      <formula>1800</formula>
      <formula>2200</formula>
    </cfRule>
    <cfRule type="cellIs" dxfId="78" priority="9" stopIfTrue="1" operator="lessThan">
      <formula>1800</formula>
    </cfRule>
    <cfRule type="cellIs" dxfId="77" priority="10" stopIfTrue="1" operator="greaterThan">
      <formula>2200</formula>
    </cfRule>
  </conditionalFormatting>
  <conditionalFormatting sqref="B35:C35">
    <cfRule type="cellIs" dxfId="76" priority="2" operator="between">
      <formula>20000</formula>
      <formula>30000</formula>
    </cfRule>
    <cfRule type="cellIs" dxfId="75" priority="7" stopIfTrue="1" operator="lessThan">
      <formula>20000</formula>
    </cfRule>
    <cfRule type="cellIs" dxfId="74" priority="8" stopIfTrue="1" operator="greaterThan">
      <formula>30000</formula>
    </cfRule>
  </conditionalFormatting>
  <conditionalFormatting sqref="B46:C47">
    <cfRule type="cellIs" dxfId="73" priority="1" operator="between">
      <formula>100</formula>
      <formula>-150</formula>
    </cfRule>
    <cfRule type="cellIs" dxfId="72" priority="11" stopIfTrue="1" operator="greaterThan">
      <formula>100</formula>
    </cfRule>
    <cfRule type="cellIs" dxfId="71" priority="12" stopIfTrue="1" operator="lessThan">
      <formula>-150</formula>
    </cfRule>
  </conditionalFormatting>
  <dataValidations count="2">
    <dataValidation type="list" allowBlank="1" showInputMessage="1" showErrorMessage="1" sqref="B39:B42" xr:uid="{00000000-0002-0000-0500-000000000000}">
      <formula1>$E$2:$E$8</formula1>
    </dataValidation>
    <dataValidation type="list" allowBlank="1" showInputMessage="1" showErrorMessage="1" sqref="B43" xr:uid="{00000000-0002-0000-0500-000001000000}">
      <formula1>$A$39:$A$42</formula1>
    </dataValidation>
  </dataValidations>
  <hyperlinks>
    <hyperlink ref="B1" r:id="rId1" xr:uid="{00000000-0004-0000-0500-000000000000}"/>
    <hyperlink ref="E1" r:id="rId2" xr:uid="{00000000-0004-0000-05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60"/>
  <sheetViews>
    <sheetView zoomScale="125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114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199900</v>
      </c>
      <c r="E3" t="s">
        <v>50</v>
      </c>
      <c r="F3" s="10">
        <v>0</v>
      </c>
    </row>
    <row r="4" spans="1:6" x14ac:dyDescent="0.2">
      <c r="A4" s="1" t="s">
        <v>51</v>
      </c>
      <c r="B4">
        <v>2381</v>
      </c>
      <c r="E4" t="s">
        <v>52</v>
      </c>
      <c r="F4" s="10">
        <v>0</v>
      </c>
    </row>
    <row r="5" spans="1:6" x14ac:dyDescent="0.2">
      <c r="A5" s="1" t="s">
        <v>53</v>
      </c>
      <c r="B5">
        <v>5</v>
      </c>
      <c r="E5" t="s">
        <v>54</v>
      </c>
      <c r="F5" s="10">
        <v>1147</v>
      </c>
    </row>
    <row r="6" spans="1:6" x14ac:dyDescent="0.2">
      <c r="A6" s="1" t="s">
        <v>55</v>
      </c>
      <c r="B6">
        <v>4</v>
      </c>
      <c r="E6" t="s">
        <v>112</v>
      </c>
      <c r="F6" s="10">
        <v>1395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1901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83.956320873582527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7996</v>
      </c>
      <c r="C13" s="12">
        <f>$B$3*Assumptions!$B$5</f>
        <v>7996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6996.5000000000009</v>
      </c>
      <c r="C18" s="12">
        <f>$B$3*C17</f>
        <v>9995</v>
      </c>
    </row>
    <row r="19" spans="1:3" x14ac:dyDescent="0.2">
      <c r="A19" s="2" t="s">
        <v>69</v>
      </c>
      <c r="B19" s="12">
        <f>$B$3-B18</f>
        <v>192903.5</v>
      </c>
      <c r="C19" s="12">
        <f>$B$3-C18</f>
        <v>189905</v>
      </c>
    </row>
    <row r="20" spans="1:3" x14ac:dyDescent="0.2">
      <c r="A20" s="2" t="s">
        <v>70</v>
      </c>
      <c r="B20" s="12">
        <f>B3*Assumptions!$B$7</f>
        <v>3498.2500000000005</v>
      </c>
      <c r="C20" s="12">
        <v>0</v>
      </c>
    </row>
    <row r="21" spans="1:3" x14ac:dyDescent="0.2">
      <c r="A21" s="2" t="s">
        <v>71</v>
      </c>
      <c r="B21" s="12">
        <f>B19+B20</f>
        <v>196401.75</v>
      </c>
      <c r="C21" s="12">
        <f>C19+C20</f>
        <v>189905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1205.4498756484415</v>
      </c>
      <c r="C23" s="23">
        <f>PMT(C22/12,Assumptions!$B$9*12, -C21)</f>
        <v>1165.5749433750836</v>
      </c>
    </row>
    <row r="24" spans="1:3" x14ac:dyDescent="0.2">
      <c r="A24" s="2" t="s">
        <v>73</v>
      </c>
      <c r="B24" s="11">
        <f>B21*Assumptions!$B$8</f>
        <v>1669.4148750000002</v>
      </c>
      <c r="C24" s="11">
        <f>C21*Assumptions!$B$8</f>
        <v>1614.1925000000001</v>
      </c>
    </row>
    <row r="25" spans="1:3" x14ac:dyDescent="0.2">
      <c r="A25" s="17" t="s">
        <v>74</v>
      </c>
      <c r="B25" s="11">
        <f>B24/12</f>
        <v>139.11790625</v>
      </c>
      <c r="C25" s="11">
        <f>C24/12</f>
        <v>134.51604166666667</v>
      </c>
    </row>
    <row r="26" spans="1:3" x14ac:dyDescent="0.2">
      <c r="A26" s="20" t="s">
        <v>75</v>
      </c>
      <c r="B26" s="21">
        <f>B25*12*Assumptions!$B$9</f>
        <v>50082.446250000001</v>
      </c>
      <c r="C26" s="21">
        <f>C25*12*Assumptions!$B$9</f>
        <v>48425.775000000001</v>
      </c>
    </row>
    <row r="27" spans="1:3" x14ac:dyDescent="0.2">
      <c r="A27" s="1" t="s">
        <v>76</v>
      </c>
      <c r="B27" s="12">
        <f>$B$3*Assumptions!$B$2</f>
        <v>3128.4349999999999</v>
      </c>
      <c r="C27" s="12">
        <f>$B$3*Assumptions!$B$2</f>
        <v>3128.4349999999999</v>
      </c>
    </row>
    <row r="28" spans="1:3" x14ac:dyDescent="0.2">
      <c r="A28" s="2" t="s">
        <v>77</v>
      </c>
      <c r="B28" s="12">
        <f>B27/12</f>
        <v>260.70291666666668</v>
      </c>
      <c r="C28" s="12">
        <f>C27/12</f>
        <v>260.70291666666668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1605.2706985651082</v>
      </c>
      <c r="C31" s="23">
        <f>C23+C25+C30+C28</f>
        <v>1560.793901708417</v>
      </c>
    </row>
    <row r="32" spans="1:3" x14ac:dyDescent="0.2">
      <c r="A32" s="1" t="s">
        <v>81</v>
      </c>
      <c r="B32" s="23">
        <f>Assumptions!$B$3*B31</f>
        <v>133.772558213759</v>
      </c>
      <c r="C32" s="23">
        <f>Assumptions!$B$3*C31</f>
        <v>130.0661584757014</v>
      </c>
    </row>
    <row r="33" spans="1:3" x14ac:dyDescent="0.2">
      <c r="A33" s="1" t="s">
        <v>82</v>
      </c>
      <c r="B33" s="11">
        <f>B31*Assumptions!$B$4</f>
        <v>80.26353492825541</v>
      </c>
      <c r="C33" s="11">
        <f>C31*Assumptions!$B$4</f>
        <v>78.03969508542086</v>
      </c>
    </row>
    <row r="34" spans="1:3" x14ac:dyDescent="0.2">
      <c r="A34" s="24" t="s">
        <v>83</v>
      </c>
      <c r="B34" s="29">
        <f>SUM(B31:B33)</f>
        <v>1819.3067917071226</v>
      </c>
      <c r="C34" s="29">
        <f>SUM(C31:C33)</f>
        <v>1768.8997552695394</v>
      </c>
    </row>
    <row r="35" spans="1:3" x14ac:dyDescent="0.2">
      <c r="A35" s="24" t="s">
        <v>84</v>
      </c>
      <c r="B35" s="11">
        <f>SUM(B13,B18)</f>
        <v>14992.5</v>
      </c>
      <c r="C35" s="11">
        <f>SUM(C13,C18)</f>
        <v>17991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54</v>
      </c>
      <c r="C39" s="19">
        <f>VLOOKUP(B39,$E$2:$F$8,2,FALSE)</f>
        <v>1147</v>
      </c>
    </row>
    <row r="40" spans="1:3" x14ac:dyDescent="0.2">
      <c r="A40" s="2" t="s">
        <v>90</v>
      </c>
      <c r="B40" t="s">
        <v>112</v>
      </c>
      <c r="C40" s="19">
        <f>VLOOKUP(B40,$E$2:$F$8,2,FALSE)</f>
        <v>1395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2542</v>
      </c>
    </row>
    <row r="45" spans="1:3" x14ac:dyDescent="0.2">
      <c r="A45" s="1" t="s">
        <v>95</v>
      </c>
      <c r="C45" s="12">
        <f>C44-VLOOKUP(B43,A39:C42,3,FALSE)</f>
        <v>1395</v>
      </c>
    </row>
    <row r="46" spans="1:3" x14ac:dyDescent="0.2">
      <c r="A46" s="1" t="s">
        <v>96</v>
      </c>
      <c r="B46" s="12">
        <f>C45-B34</f>
        <v>-424.30679170712256</v>
      </c>
      <c r="C46" s="12">
        <f>C45-C34</f>
        <v>-373.89975526953936</v>
      </c>
    </row>
    <row r="47" spans="1:3" x14ac:dyDescent="0.2">
      <c r="A47" s="1" t="s">
        <v>97</v>
      </c>
      <c r="B47" s="12">
        <f>C44-B34</f>
        <v>722.69320829287744</v>
      </c>
      <c r="C47" s="12">
        <f>C44-C34</f>
        <v>773.10024473046064</v>
      </c>
    </row>
    <row r="48" spans="1:3" x14ac:dyDescent="0.2">
      <c r="A48" s="1" t="s">
        <v>98</v>
      </c>
      <c r="B48" s="12">
        <f>B46*12</f>
        <v>-5091.6815004854707</v>
      </c>
      <c r="C48" s="12">
        <f>C46*12</f>
        <v>-4486.7970632344723</v>
      </c>
    </row>
    <row r="49" spans="1:3" x14ac:dyDescent="0.2">
      <c r="A49" s="1" t="s">
        <v>99</v>
      </c>
      <c r="B49" s="12">
        <f>B47*12</f>
        <v>8672.3184995145293</v>
      </c>
      <c r="C49" s="12">
        <f>C47*12</f>
        <v>9277.2029367655268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-2.5471143073964336E-2</v>
      </c>
      <c r="C52" s="35">
        <f>C48/$B$3</f>
        <v>-2.2445207920132427E-2</v>
      </c>
    </row>
    <row r="53" spans="1:3" x14ac:dyDescent="0.2">
      <c r="A53" s="27" t="s">
        <v>102</v>
      </c>
      <c r="B53" s="35">
        <f>B49/$B$3</f>
        <v>4.3383284139642465E-2</v>
      </c>
      <c r="C53" s="35">
        <f>C49/$B$3</f>
        <v>4.6409219293474371E-2</v>
      </c>
    </row>
    <row r="54" spans="1:3" x14ac:dyDescent="0.2">
      <c r="A54" s="27" t="s">
        <v>103</v>
      </c>
      <c r="B54" s="35">
        <f>B48/B$35</f>
        <v>-0.33961524098619111</v>
      </c>
      <c r="C54" s="35">
        <f>C48/C35</f>
        <v>-0.24939119911258253</v>
      </c>
    </row>
    <row r="55" spans="1:3" x14ac:dyDescent="0.2">
      <c r="A55" s="27" t="s">
        <v>104</v>
      </c>
      <c r="B55" s="35">
        <f>B49/B$35</f>
        <v>0.57844378852856626</v>
      </c>
      <c r="C55" s="35">
        <f>C49/C$35</f>
        <v>0.51565799214971519</v>
      </c>
    </row>
    <row r="56" spans="1:3" x14ac:dyDescent="0.2">
      <c r="A56" s="27" t="s">
        <v>105</v>
      </c>
      <c r="B56" s="38">
        <f>$B$3/C$44</f>
        <v>78.63886703383163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">
    <cfRule type="cellIs" dxfId="70" priority="4" stopIfTrue="1" operator="between">
      <formula>1200</formula>
      <formula>1500</formula>
    </cfRule>
    <cfRule type="cellIs" dxfId="69" priority="5" operator="lessThan">
      <formula>1200</formula>
    </cfRule>
    <cfRule type="cellIs" dxfId="68" priority="6" operator="greaterThan">
      <formula>1500</formula>
    </cfRule>
  </conditionalFormatting>
  <conditionalFormatting sqref="B34:C34">
    <cfRule type="cellIs" dxfId="67" priority="9" operator="between">
      <formula>1800</formula>
      <formula>2200</formula>
    </cfRule>
    <cfRule type="cellIs" dxfId="66" priority="15" stopIfTrue="1" operator="lessThan">
      <formula>1800</formula>
    </cfRule>
    <cfRule type="cellIs" dxfId="65" priority="16" stopIfTrue="1" operator="greaterThan">
      <formula>2200</formula>
    </cfRule>
  </conditionalFormatting>
  <conditionalFormatting sqref="B35:C35">
    <cfRule type="cellIs" dxfId="64" priority="8" operator="between">
      <formula>20000</formula>
      <formula>30000</formula>
    </cfRule>
    <cfRule type="cellIs" dxfId="63" priority="13" stopIfTrue="1" operator="lessThan">
      <formula>20000</formula>
    </cfRule>
    <cfRule type="cellIs" dxfId="62" priority="14" stopIfTrue="1" operator="greaterThan">
      <formula>30000</formula>
    </cfRule>
  </conditionalFormatting>
  <conditionalFormatting sqref="B46:C47">
    <cfRule type="cellIs" dxfId="61" priority="7" operator="between">
      <formula>100</formula>
      <formula>-150</formula>
    </cfRule>
    <cfRule type="cellIs" dxfId="60" priority="17" stopIfTrue="1" operator="greaterThan">
      <formula>100</formula>
    </cfRule>
    <cfRule type="cellIs" dxfId="59" priority="18" stopIfTrue="1" operator="lessThan">
      <formula>-150</formula>
    </cfRule>
  </conditionalFormatting>
  <conditionalFormatting sqref="C23">
    <cfRule type="cellIs" dxfId="58" priority="1" operator="between">
      <formula>1300</formula>
      <formula>1500</formula>
    </cfRule>
    <cfRule type="cellIs" dxfId="57" priority="2" operator="lessThan">
      <formula>1200</formula>
    </cfRule>
    <cfRule type="cellIs" dxfId="56" priority="3" operator="greaterThan">
      <formula>1500</formula>
    </cfRule>
  </conditionalFormatting>
  <dataValidations disablePrompts="1" count="2">
    <dataValidation type="list" allowBlank="1" showInputMessage="1" showErrorMessage="1" sqref="B43" xr:uid="{00000000-0002-0000-0600-000000000000}">
      <formula1>$A$39:$A$42</formula1>
    </dataValidation>
    <dataValidation type="list" allowBlank="1" showInputMessage="1" showErrorMessage="1" sqref="B39:B42" xr:uid="{00000000-0002-0000-0600-000001000000}">
      <formula1>$E$2:$E$8</formula1>
    </dataValidation>
  </dataValidations>
  <hyperlinks>
    <hyperlink ref="B1" r:id="rId1" xr:uid="{00000000-0004-0000-0600-000000000000}"/>
    <hyperlink ref="E1" r:id="rId2" xr:uid="{00000000-0004-0000-06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60"/>
  <sheetViews>
    <sheetView zoomScale="125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115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240000</v>
      </c>
      <c r="E3" t="s">
        <v>50</v>
      </c>
      <c r="F3" s="10">
        <v>1195</v>
      </c>
    </row>
    <row r="4" spans="1:6" x14ac:dyDescent="0.2">
      <c r="A4" s="1" t="s">
        <v>51</v>
      </c>
      <c r="B4">
        <v>1056</v>
      </c>
      <c r="E4" t="s">
        <v>52</v>
      </c>
      <c r="F4" s="10">
        <v>0</v>
      </c>
    </row>
    <row r="5" spans="1:6" x14ac:dyDescent="0.2">
      <c r="A5" s="1" t="s">
        <v>53</v>
      </c>
      <c r="B5">
        <v>4</v>
      </c>
      <c r="E5" t="s">
        <v>54</v>
      </c>
      <c r="F5" s="10">
        <v>0</v>
      </c>
    </row>
    <row r="6" spans="1:6" x14ac:dyDescent="0.2">
      <c r="A6" s="1" t="s">
        <v>55</v>
      </c>
      <c r="B6">
        <v>2</v>
      </c>
      <c r="E6" t="s">
        <v>116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1936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227.27272727272728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9600</v>
      </c>
      <c r="C13" s="12">
        <f>$B$3*Assumptions!$B$5</f>
        <v>9600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8400</v>
      </c>
      <c r="C18" s="12">
        <f>$B$3*C17</f>
        <v>12000</v>
      </c>
    </row>
    <row r="19" spans="1:3" x14ac:dyDescent="0.2">
      <c r="A19" s="2" t="s">
        <v>69</v>
      </c>
      <c r="B19" s="12">
        <f>$B$3-B18</f>
        <v>231600</v>
      </c>
      <c r="C19" s="12">
        <f>$B$3-C18</f>
        <v>228000</v>
      </c>
    </row>
    <row r="20" spans="1:3" x14ac:dyDescent="0.2">
      <c r="A20" s="2" t="s">
        <v>70</v>
      </c>
      <c r="B20" s="12">
        <f>B3*Assumptions!$B$7</f>
        <v>4200</v>
      </c>
      <c r="C20" s="12">
        <v>0</v>
      </c>
    </row>
    <row r="21" spans="1:3" x14ac:dyDescent="0.2">
      <c r="A21" s="2" t="s">
        <v>71</v>
      </c>
      <c r="B21" s="12">
        <f>B19+B20</f>
        <v>235800</v>
      </c>
      <c r="C21" s="12">
        <f>C19+C20</f>
        <v>228000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1447.2634825193895</v>
      </c>
      <c r="C23" s="23">
        <f>PMT(C22/12,Assumptions!$B$9*12, -C21)</f>
        <v>1399.3896268635319</v>
      </c>
    </row>
    <row r="24" spans="1:3" x14ac:dyDescent="0.2">
      <c r="A24" s="2" t="s">
        <v>73</v>
      </c>
      <c r="B24" s="11">
        <f>B21*Assumptions!$B$8</f>
        <v>2004.3000000000002</v>
      </c>
      <c r="C24" s="11">
        <f>C21*Assumptions!$B$8</f>
        <v>1938.0000000000002</v>
      </c>
    </row>
    <row r="25" spans="1:3" x14ac:dyDescent="0.2">
      <c r="A25" s="17" t="s">
        <v>74</v>
      </c>
      <c r="B25" s="11">
        <f>B24/12</f>
        <v>167.02500000000001</v>
      </c>
      <c r="C25" s="11">
        <f>C24/12</f>
        <v>161.50000000000003</v>
      </c>
    </row>
    <row r="26" spans="1:3" x14ac:dyDescent="0.2">
      <c r="A26" s="20" t="s">
        <v>75</v>
      </c>
      <c r="B26" s="21">
        <f>B25*12*Assumptions!$B$9</f>
        <v>60129.000000000007</v>
      </c>
      <c r="C26" s="21">
        <f>C25*12*Assumptions!$B$9</f>
        <v>58140.000000000015</v>
      </c>
    </row>
    <row r="27" spans="1:3" x14ac:dyDescent="0.2">
      <c r="A27" s="1" t="s">
        <v>76</v>
      </c>
      <c r="B27" s="12">
        <f>$B$3*Assumptions!$B$2</f>
        <v>3756</v>
      </c>
      <c r="C27" s="12">
        <f>$B$3*Assumptions!$B$2</f>
        <v>3756</v>
      </c>
    </row>
    <row r="28" spans="1:3" x14ac:dyDescent="0.2">
      <c r="A28" s="2" t="s">
        <v>77</v>
      </c>
      <c r="B28" s="12">
        <f>B27/12</f>
        <v>313</v>
      </c>
      <c r="C28" s="12">
        <f>C27/12</f>
        <v>313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1927.2884825193896</v>
      </c>
      <c r="C31" s="23">
        <f>C23+C25+C30+C28</f>
        <v>1873.8896268635319</v>
      </c>
    </row>
    <row r="32" spans="1:3" x14ac:dyDescent="0.2">
      <c r="A32" s="1" t="s">
        <v>81</v>
      </c>
      <c r="B32" s="23">
        <f>Assumptions!$B$3*B31</f>
        <v>160.60737354328245</v>
      </c>
      <c r="C32" s="23">
        <f>Assumptions!$B$3*C31</f>
        <v>156.15746890529431</v>
      </c>
    </row>
    <row r="33" spans="1:3" x14ac:dyDescent="0.2">
      <c r="A33" s="1" t="s">
        <v>82</v>
      </c>
      <c r="B33" s="11">
        <f>B31*Assumptions!$B$4</f>
        <v>96.364424125969492</v>
      </c>
      <c r="C33" s="11">
        <f>C31*Assumptions!$B$4</f>
        <v>93.694481343176605</v>
      </c>
    </row>
    <row r="34" spans="1:3" x14ac:dyDescent="0.2">
      <c r="A34" s="24" t="s">
        <v>83</v>
      </c>
      <c r="B34" s="29">
        <f>SUM(B31:B33)</f>
        <v>2184.2602801886414</v>
      </c>
      <c r="C34" s="29">
        <f>SUM(C31:C33)</f>
        <v>2123.7415771120027</v>
      </c>
    </row>
    <row r="35" spans="1:3" x14ac:dyDescent="0.2">
      <c r="A35" s="24" t="s">
        <v>84</v>
      </c>
      <c r="B35" s="11">
        <f>SUM(B13,B18)</f>
        <v>18000</v>
      </c>
      <c r="C35" s="11">
        <f>SUM(C13,C18)</f>
        <v>21600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50</v>
      </c>
      <c r="C39" s="19">
        <f>VLOOKUP(B39,$E$2:$F$8,2,FALSE)</f>
        <v>1195</v>
      </c>
    </row>
    <row r="40" spans="1:3" x14ac:dyDescent="0.2">
      <c r="A40" s="2" t="s">
        <v>90</v>
      </c>
      <c r="B40" t="s">
        <v>50</v>
      </c>
      <c r="C40" s="19">
        <f>VLOOKUP(B40,$E$2:$F$8,2,FALSE)</f>
        <v>1195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90</v>
      </c>
      <c r="C43" s="39"/>
    </row>
    <row r="44" spans="1:3" x14ac:dyDescent="0.2">
      <c r="A44" s="1" t="s">
        <v>94</v>
      </c>
      <c r="C44" s="12">
        <f>SUM(C39:C42)</f>
        <v>2390</v>
      </c>
    </row>
    <row r="45" spans="1:3" x14ac:dyDescent="0.2">
      <c r="A45" s="1" t="s">
        <v>95</v>
      </c>
      <c r="C45" s="12">
        <f>C44-VLOOKUP(B43,A39:C42,3,FALSE)</f>
        <v>1195</v>
      </c>
    </row>
    <row r="46" spans="1:3" x14ac:dyDescent="0.2">
      <c r="A46" s="1" t="s">
        <v>96</v>
      </c>
      <c r="B46" s="12">
        <f>C45-B34</f>
        <v>-989.26028018864145</v>
      </c>
      <c r="C46" s="12">
        <f>C45-C34</f>
        <v>-928.74157711200269</v>
      </c>
    </row>
    <row r="47" spans="1:3" x14ac:dyDescent="0.2">
      <c r="A47" s="1" t="s">
        <v>97</v>
      </c>
      <c r="B47" s="12">
        <f>C44-B34</f>
        <v>205.73971981135855</v>
      </c>
      <c r="C47" s="12">
        <f>C44-C34</f>
        <v>266.25842288799731</v>
      </c>
    </row>
    <row r="48" spans="1:3" x14ac:dyDescent="0.2">
      <c r="A48" s="1" t="s">
        <v>98</v>
      </c>
      <c r="B48" s="12">
        <f>B46*12</f>
        <v>-11871.123362263697</v>
      </c>
      <c r="C48" s="12">
        <f>C46*12</f>
        <v>-11144.898925344032</v>
      </c>
    </row>
    <row r="49" spans="1:3" x14ac:dyDescent="0.2">
      <c r="A49" s="1" t="s">
        <v>99</v>
      </c>
      <c r="B49" s="12">
        <f>B47*12</f>
        <v>2468.8766377363027</v>
      </c>
      <c r="C49" s="12">
        <f>C47*12</f>
        <v>3195.1010746559678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-4.9463014009432073E-2</v>
      </c>
      <c r="C52" s="35">
        <f>C48/$B$3</f>
        <v>-4.6437078855600132E-2</v>
      </c>
    </row>
    <row r="53" spans="1:3" x14ac:dyDescent="0.2">
      <c r="A53" s="27" t="s">
        <v>102</v>
      </c>
      <c r="B53" s="35">
        <f>B49/$B$3</f>
        <v>1.0286985990567928E-2</v>
      </c>
      <c r="C53" s="35">
        <f>C49/$B$3</f>
        <v>1.3312921144399865E-2</v>
      </c>
    </row>
    <row r="54" spans="1:3" x14ac:dyDescent="0.2">
      <c r="A54" s="27" t="s">
        <v>103</v>
      </c>
      <c r="B54" s="35">
        <f>B48/B$35</f>
        <v>-0.65950685345909432</v>
      </c>
      <c r="C54" s="35">
        <f>C48/C35</f>
        <v>-0.51596754284000146</v>
      </c>
    </row>
    <row r="55" spans="1:3" x14ac:dyDescent="0.2">
      <c r="A55" s="27" t="s">
        <v>104</v>
      </c>
      <c r="B55" s="35">
        <f>B49/B$35</f>
        <v>0.13715981320757237</v>
      </c>
      <c r="C55" s="35">
        <f>C49/C$35</f>
        <v>0.1479213460488874</v>
      </c>
    </row>
    <row r="56" spans="1:3" x14ac:dyDescent="0.2">
      <c r="A56" s="27" t="s">
        <v>105</v>
      </c>
      <c r="B56" s="38">
        <f>$B$3/C$44</f>
        <v>100.418410041841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55" priority="1" operator="between">
      <formula>1300</formula>
      <formula>1500</formula>
    </cfRule>
    <cfRule type="cellIs" dxfId="54" priority="2" operator="lessThan">
      <formula>1200</formula>
    </cfRule>
    <cfRule type="cellIs" dxfId="53" priority="3" operator="greaterThan">
      <formula>1500</formula>
    </cfRule>
  </conditionalFormatting>
  <conditionalFormatting sqref="B34:C34">
    <cfRule type="cellIs" dxfId="52" priority="9" operator="between">
      <formula>1800</formula>
      <formula>2200</formula>
    </cfRule>
    <cfRule type="cellIs" dxfId="51" priority="15" stopIfTrue="1" operator="lessThan">
      <formula>1800</formula>
    </cfRule>
    <cfRule type="cellIs" dxfId="50" priority="16" stopIfTrue="1" operator="greaterThan">
      <formula>2200</formula>
    </cfRule>
  </conditionalFormatting>
  <conditionalFormatting sqref="B35:C35">
    <cfRule type="cellIs" dxfId="49" priority="8" operator="between">
      <formula>20000</formula>
      <formula>30000</formula>
    </cfRule>
    <cfRule type="cellIs" dxfId="48" priority="13" stopIfTrue="1" operator="lessThan">
      <formula>20000</formula>
    </cfRule>
    <cfRule type="cellIs" dxfId="47" priority="14" stopIfTrue="1" operator="greaterThan">
      <formula>30000</formula>
    </cfRule>
  </conditionalFormatting>
  <conditionalFormatting sqref="B46:C47">
    <cfRule type="cellIs" dxfId="46" priority="7" operator="between">
      <formula>100</formula>
      <formula>-150</formula>
    </cfRule>
    <cfRule type="cellIs" dxfId="45" priority="17" stopIfTrue="1" operator="greaterThan">
      <formula>100</formula>
    </cfRule>
    <cfRule type="cellIs" dxfId="44" priority="18" stopIfTrue="1" operator="lessThan">
      <formula>-150</formula>
    </cfRule>
  </conditionalFormatting>
  <dataValidations count="2">
    <dataValidation type="list" allowBlank="1" showInputMessage="1" showErrorMessage="1" sqref="B39:B42" xr:uid="{00000000-0002-0000-0700-000000000000}">
      <formula1>$E$2:$E$8</formula1>
    </dataValidation>
    <dataValidation type="list" allowBlank="1" showInputMessage="1" showErrorMessage="1" sqref="B43" xr:uid="{00000000-0002-0000-0700-000001000000}">
      <formula1>$A$39:$A$42</formula1>
    </dataValidation>
  </dataValidations>
  <hyperlinks>
    <hyperlink ref="B1" r:id="rId1" xr:uid="{00000000-0004-0000-0700-000000000000}"/>
    <hyperlink ref="E1" r:id="rId2" xr:uid="{00000000-0004-0000-07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60"/>
  <sheetViews>
    <sheetView zoomScale="137" workbookViewId="0">
      <selection activeCell="B1" sqref="B1:C1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117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2</v>
      </c>
      <c r="E2" t="s">
        <v>49</v>
      </c>
      <c r="F2" s="10">
        <v>0</v>
      </c>
    </row>
    <row r="3" spans="1:6" x14ac:dyDescent="0.2">
      <c r="A3" s="1" t="s">
        <v>21</v>
      </c>
      <c r="B3" s="10">
        <v>259900</v>
      </c>
      <c r="E3" t="s">
        <v>50</v>
      </c>
      <c r="F3" s="10">
        <v>1175</v>
      </c>
    </row>
    <row r="4" spans="1:6" x14ac:dyDescent="0.2">
      <c r="A4" s="1" t="s">
        <v>51</v>
      </c>
      <c r="B4">
        <v>1856</v>
      </c>
      <c r="E4" t="s">
        <v>52</v>
      </c>
      <c r="F4" s="10">
        <v>1398</v>
      </c>
    </row>
    <row r="5" spans="1:6" x14ac:dyDescent="0.2">
      <c r="A5" s="1" t="s">
        <v>53</v>
      </c>
      <c r="B5">
        <v>5</v>
      </c>
      <c r="E5" t="s">
        <v>54</v>
      </c>
      <c r="F5" s="10">
        <v>0</v>
      </c>
    </row>
    <row r="6" spans="1:6" x14ac:dyDescent="0.2">
      <c r="A6" s="1" t="s">
        <v>55</v>
      </c>
      <c r="B6">
        <v>2</v>
      </c>
      <c r="E6" t="s">
        <v>116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1900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140.03232758620689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10396</v>
      </c>
      <c r="C13" s="12">
        <f>$B$3*Assumptions!$B$5</f>
        <v>10396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9096.5</v>
      </c>
      <c r="C18" s="12">
        <f>$B$3*C17</f>
        <v>12995</v>
      </c>
    </row>
    <row r="19" spans="1:3" x14ac:dyDescent="0.2">
      <c r="A19" s="2" t="s">
        <v>69</v>
      </c>
      <c r="B19" s="12">
        <f>$B$3-B18</f>
        <v>250803.5</v>
      </c>
      <c r="C19" s="12">
        <f>$B$3-C18</f>
        <v>246905</v>
      </c>
    </row>
    <row r="20" spans="1:3" x14ac:dyDescent="0.2">
      <c r="A20" s="2" t="s">
        <v>70</v>
      </c>
      <c r="B20" s="12">
        <f>B3*Assumptions!$B$7</f>
        <v>4548.25</v>
      </c>
      <c r="C20" s="12">
        <v>0</v>
      </c>
    </row>
    <row r="21" spans="1:3" x14ac:dyDescent="0.2">
      <c r="A21" s="2" t="s">
        <v>71</v>
      </c>
      <c r="B21" s="12">
        <f>B19+B20</f>
        <v>255351.75</v>
      </c>
      <c r="C21" s="12">
        <f>C19+C20</f>
        <v>246905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1567.265746278289</v>
      </c>
      <c r="C23" s="23">
        <f>PMT(C22/12,Assumptions!$B$9*12, -C21)</f>
        <v>1515.4223500909663</v>
      </c>
    </row>
    <row r="24" spans="1:3" x14ac:dyDescent="0.2">
      <c r="A24" s="2" t="s">
        <v>73</v>
      </c>
      <c r="B24" s="11">
        <f>B21*Assumptions!$B$8</f>
        <v>2170.4898750000002</v>
      </c>
      <c r="C24" s="11">
        <f>C21*Assumptions!$B$8</f>
        <v>2098.6925000000001</v>
      </c>
    </row>
    <row r="25" spans="1:3" x14ac:dyDescent="0.2">
      <c r="A25" s="17" t="s">
        <v>74</v>
      </c>
      <c r="B25" s="11">
        <f>B24/12</f>
        <v>180.87415625000003</v>
      </c>
      <c r="C25" s="11">
        <f>C24/12</f>
        <v>174.89104166666667</v>
      </c>
    </row>
    <row r="26" spans="1:3" x14ac:dyDescent="0.2">
      <c r="A26" s="20" t="s">
        <v>75</v>
      </c>
      <c r="B26" s="21">
        <f>B25*12*Assumptions!$B$9</f>
        <v>65114.696250000008</v>
      </c>
      <c r="C26" s="21">
        <f>C25*12*Assumptions!$B$9</f>
        <v>62960.775000000001</v>
      </c>
    </row>
    <row r="27" spans="1:3" x14ac:dyDescent="0.2">
      <c r="A27" s="1" t="s">
        <v>76</v>
      </c>
      <c r="B27" s="12">
        <f>$B$3*Assumptions!$B$2</f>
        <v>4067.4350000000004</v>
      </c>
      <c r="C27" s="12">
        <f>$B$3*Assumptions!$B$2</f>
        <v>4067.4350000000004</v>
      </c>
    </row>
    <row r="28" spans="1:3" x14ac:dyDescent="0.2">
      <c r="A28" s="2" t="s">
        <v>77</v>
      </c>
      <c r="B28" s="12">
        <f>B27/12</f>
        <v>338.95291666666668</v>
      </c>
      <c r="C28" s="12">
        <f>C27/12</f>
        <v>338.95291666666668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2087.0928191949556</v>
      </c>
      <c r="C31" s="23">
        <f>C23+C25+C30+C28</f>
        <v>2029.2663084242997</v>
      </c>
    </row>
    <row r="32" spans="1:3" x14ac:dyDescent="0.2">
      <c r="A32" s="1" t="s">
        <v>81</v>
      </c>
      <c r="B32" s="23">
        <f>Assumptions!$B$3*B31</f>
        <v>173.92440159957962</v>
      </c>
      <c r="C32" s="23">
        <f>Assumptions!$B$3*C31</f>
        <v>169.10552570202498</v>
      </c>
    </row>
    <row r="33" spans="1:3" x14ac:dyDescent="0.2">
      <c r="A33" s="1" t="s">
        <v>82</v>
      </c>
      <c r="B33" s="11">
        <f>B31*Assumptions!$B$4</f>
        <v>104.35464095974778</v>
      </c>
      <c r="C33" s="11">
        <f>C31*Assumptions!$B$4</f>
        <v>101.46331542121499</v>
      </c>
    </row>
    <row r="34" spans="1:3" x14ac:dyDescent="0.2">
      <c r="A34" s="24" t="s">
        <v>83</v>
      </c>
      <c r="B34" s="29">
        <f>SUM(B31:B33)</f>
        <v>2365.3718617542831</v>
      </c>
      <c r="C34" s="29">
        <f>SUM(C31:C33)</f>
        <v>2299.8351495475399</v>
      </c>
    </row>
    <row r="35" spans="1:3" x14ac:dyDescent="0.2">
      <c r="A35" s="24" t="s">
        <v>84</v>
      </c>
      <c r="B35" s="11">
        <f>SUM(B13,B18)</f>
        <v>19492.5</v>
      </c>
      <c r="C35" s="11">
        <f>SUM(C13,C18)</f>
        <v>23391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52</v>
      </c>
      <c r="C39" s="19">
        <f>VLOOKUP(B39,$E$2:$F$8,2,FALSE)</f>
        <v>1398</v>
      </c>
    </row>
    <row r="40" spans="1:3" x14ac:dyDescent="0.2">
      <c r="A40" s="2" t="s">
        <v>90</v>
      </c>
      <c r="B40" t="s">
        <v>50</v>
      </c>
      <c r="C40" s="19">
        <f>VLOOKUP(B40,$E$2:$F$8,2,FALSE)</f>
        <v>1175</v>
      </c>
    </row>
    <row r="41" spans="1:3" x14ac:dyDescent="0.2">
      <c r="A41" s="2" t="s">
        <v>91</v>
      </c>
      <c r="B41" t="s">
        <v>60</v>
      </c>
      <c r="C41" s="19">
        <f>VLOOKUP(B41,$E$2:$F$8,2,FALSE)</f>
        <v>0</v>
      </c>
    </row>
    <row r="42" spans="1:3" x14ac:dyDescent="0.2">
      <c r="A42" s="2" t="s">
        <v>92</v>
      </c>
      <c r="B42" t="s">
        <v>60</v>
      </c>
      <c r="C42" s="19">
        <f>VLOOKUP(B42,$E$2:$F$8,2,FALSE)</f>
        <v>0</v>
      </c>
    </row>
    <row r="43" spans="1:3" x14ac:dyDescent="0.2">
      <c r="A43" s="1" t="s">
        <v>93</v>
      </c>
      <c r="B43" s="42" t="s">
        <v>90</v>
      </c>
      <c r="C43" s="39"/>
    </row>
    <row r="44" spans="1:3" x14ac:dyDescent="0.2">
      <c r="A44" s="1" t="s">
        <v>94</v>
      </c>
      <c r="C44" s="12">
        <f>SUM(C39:C42)</f>
        <v>2573</v>
      </c>
    </row>
    <row r="45" spans="1:3" x14ac:dyDescent="0.2">
      <c r="A45" s="1" t="s">
        <v>95</v>
      </c>
      <c r="C45" s="12">
        <f>C44-VLOOKUP(B43,A39:C42,3,FALSE)</f>
        <v>1398</v>
      </c>
    </row>
    <row r="46" spans="1:3" x14ac:dyDescent="0.2">
      <c r="A46" s="1" t="s">
        <v>96</v>
      </c>
      <c r="B46" s="12">
        <f>C45-B34</f>
        <v>-967.37186175428315</v>
      </c>
      <c r="C46" s="12">
        <f>C45-C34</f>
        <v>-901.83514954753991</v>
      </c>
    </row>
    <row r="47" spans="1:3" x14ac:dyDescent="0.2">
      <c r="A47" s="1" t="s">
        <v>97</v>
      </c>
      <c r="B47" s="12">
        <f>C44-B34</f>
        <v>207.62813824571685</v>
      </c>
      <c r="C47" s="12">
        <f>C44-C34</f>
        <v>273.16485045246009</v>
      </c>
    </row>
    <row r="48" spans="1:3" x14ac:dyDescent="0.2">
      <c r="A48" s="1" t="s">
        <v>98</v>
      </c>
      <c r="B48" s="12">
        <f>B46*12</f>
        <v>-11608.462341051398</v>
      </c>
      <c r="C48" s="12">
        <f>C46*12</f>
        <v>-10822.021794570479</v>
      </c>
    </row>
    <row r="49" spans="1:3" x14ac:dyDescent="0.2">
      <c r="A49" s="1" t="s">
        <v>99</v>
      </c>
      <c r="B49" s="12">
        <f>B47*12</f>
        <v>2491.5376589486023</v>
      </c>
      <c r="C49" s="12">
        <f>C47*12</f>
        <v>3277.978205429521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-4.4665110969801455E-2</v>
      </c>
      <c r="C52" s="35">
        <f>C48/$B$3</f>
        <v>-4.1639175815969522E-2</v>
      </c>
    </row>
    <row r="53" spans="1:3" x14ac:dyDescent="0.2">
      <c r="A53" s="27" t="s">
        <v>102</v>
      </c>
      <c r="B53" s="35">
        <f>B49/$B$3</f>
        <v>9.5865242745232868E-3</v>
      </c>
      <c r="C53" s="35">
        <f>C49/$B$3</f>
        <v>1.2612459428355217E-2</v>
      </c>
    </row>
    <row r="54" spans="1:3" x14ac:dyDescent="0.2">
      <c r="A54" s="27" t="s">
        <v>103</v>
      </c>
      <c r="B54" s="35">
        <f>B48/B$35</f>
        <v>-0.595534812930686</v>
      </c>
      <c r="C54" s="35">
        <f>C48/C35</f>
        <v>-0.46265750906632802</v>
      </c>
    </row>
    <row r="55" spans="1:3" x14ac:dyDescent="0.2">
      <c r="A55" s="27" t="s">
        <v>104</v>
      </c>
      <c r="B55" s="35">
        <f>B49/B$35</f>
        <v>0.12782032366031049</v>
      </c>
      <c r="C55" s="35">
        <f>C49/C$35</f>
        <v>0.14013843809283574</v>
      </c>
    </row>
    <row r="56" spans="1:3" x14ac:dyDescent="0.2">
      <c r="A56" s="27" t="s">
        <v>105</v>
      </c>
      <c r="B56" s="38">
        <f>$B$3/C$44</f>
        <v>101.01049358725224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43" priority="4" operator="between">
      <formula>1300</formula>
      <formula>1500</formula>
    </cfRule>
    <cfRule type="cellIs" dxfId="42" priority="5" operator="lessThan">
      <formula>1200</formula>
    </cfRule>
    <cfRule type="cellIs" dxfId="41" priority="6" operator="greaterThan">
      <formula>1500</formula>
    </cfRule>
  </conditionalFormatting>
  <conditionalFormatting sqref="B34:C34">
    <cfRule type="cellIs" dxfId="40" priority="3" operator="between">
      <formula>1800</formula>
      <formula>2200</formula>
    </cfRule>
    <cfRule type="cellIs" dxfId="39" priority="9" stopIfTrue="1" operator="lessThan">
      <formula>1800</formula>
    </cfRule>
    <cfRule type="cellIs" dxfId="38" priority="10" stopIfTrue="1" operator="greaterThan">
      <formula>2200</formula>
    </cfRule>
  </conditionalFormatting>
  <conditionalFormatting sqref="B35:C35">
    <cfRule type="cellIs" dxfId="37" priority="2" operator="between">
      <formula>20000</formula>
      <formula>30000</formula>
    </cfRule>
    <cfRule type="cellIs" dxfId="36" priority="7" stopIfTrue="1" operator="lessThan">
      <formula>20000</formula>
    </cfRule>
    <cfRule type="cellIs" dxfId="35" priority="8" stopIfTrue="1" operator="greaterThan">
      <formula>30000</formula>
    </cfRule>
  </conditionalFormatting>
  <conditionalFormatting sqref="B46:C47">
    <cfRule type="cellIs" dxfId="34" priority="1" operator="between">
      <formula>100</formula>
      <formula>-150</formula>
    </cfRule>
    <cfRule type="cellIs" dxfId="33" priority="11" stopIfTrue="1" operator="greaterThan">
      <formula>100</formula>
    </cfRule>
    <cfRule type="cellIs" dxfId="32" priority="12" stopIfTrue="1" operator="lessThan">
      <formula>-150</formula>
    </cfRule>
  </conditionalFormatting>
  <dataValidations count="2">
    <dataValidation type="list" allowBlank="1" showInputMessage="1" showErrorMessage="1" sqref="B43" xr:uid="{00000000-0002-0000-0800-000000000000}">
      <formula1>$A$39:$A$42</formula1>
    </dataValidation>
    <dataValidation type="list" allowBlank="1" showInputMessage="1" showErrorMessage="1" sqref="B39:B42" xr:uid="{00000000-0002-0000-0800-000001000000}">
      <formula1>$E$2:$E$8</formula1>
    </dataValidation>
  </dataValidations>
  <hyperlinks>
    <hyperlink ref="B1" r:id="rId1" xr:uid="{00000000-0004-0000-0800-000000000000}"/>
    <hyperlink ref="E1" r:id="rId2" xr:uid="{00000000-0004-0000-08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60"/>
  <sheetViews>
    <sheetView tabSelected="1" topLeftCell="A29" zoomScale="93" zoomScaleNormal="200" workbookViewId="0">
      <selection activeCell="B53" sqref="B53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118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4</v>
      </c>
      <c r="E2" t="s">
        <v>49</v>
      </c>
      <c r="F2" s="10">
        <v>840</v>
      </c>
    </row>
    <row r="3" spans="1:6" x14ac:dyDescent="0.2">
      <c r="A3" s="1" t="s">
        <v>21</v>
      </c>
      <c r="B3" s="10">
        <v>264900</v>
      </c>
      <c r="E3" t="s">
        <v>50</v>
      </c>
      <c r="F3" s="10">
        <v>1150</v>
      </c>
    </row>
    <row r="4" spans="1:6" x14ac:dyDescent="0.2">
      <c r="A4" s="1" t="s">
        <v>51</v>
      </c>
      <c r="B4">
        <v>2463</v>
      </c>
      <c r="E4" t="s">
        <v>52</v>
      </c>
      <c r="F4" s="10">
        <v>0</v>
      </c>
    </row>
    <row r="5" spans="1:6" x14ac:dyDescent="0.2">
      <c r="A5" s="1" t="s">
        <v>53</v>
      </c>
      <c r="B5">
        <v>5</v>
      </c>
      <c r="E5" t="s">
        <v>54</v>
      </c>
      <c r="F5" s="10">
        <v>0</v>
      </c>
    </row>
    <row r="6" spans="1:6" x14ac:dyDescent="0.2">
      <c r="A6" s="1" t="s">
        <v>55</v>
      </c>
      <c r="B6">
        <v>4</v>
      </c>
      <c r="E6" t="s">
        <v>116</v>
      </c>
      <c r="F6" s="10">
        <v>0</v>
      </c>
    </row>
    <row r="7" spans="1:6" x14ac:dyDescent="0.2">
      <c r="A7" s="1" t="s">
        <v>57</v>
      </c>
      <c r="E7" t="s">
        <v>58</v>
      </c>
      <c r="F7" s="10">
        <v>740</v>
      </c>
    </row>
    <row r="8" spans="1:6" x14ac:dyDescent="0.2">
      <c r="A8" s="1" t="s">
        <v>59</v>
      </c>
      <c r="B8">
        <v>1909</v>
      </c>
    </row>
    <row r="9" spans="1:6" x14ac:dyDescent="0.2">
      <c r="A9" s="1" t="s">
        <v>61</v>
      </c>
      <c r="B9" s="22">
        <f>B3/B4</f>
        <v>107.55176613885506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10596</v>
      </c>
      <c r="C13" s="12">
        <f>$B$3*Assumptions!$B$5</f>
        <v>10596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9271.5</v>
      </c>
      <c r="C18" s="12">
        <f>$B$3*C17</f>
        <v>13245</v>
      </c>
    </row>
    <row r="19" spans="1:3" x14ac:dyDescent="0.2">
      <c r="A19" s="2" t="s">
        <v>69</v>
      </c>
      <c r="B19" s="12">
        <f>$B$3-B18</f>
        <v>255628.5</v>
      </c>
      <c r="C19" s="12">
        <f>$B$3-C18</f>
        <v>251655</v>
      </c>
    </row>
    <row r="20" spans="1:3" x14ac:dyDescent="0.2">
      <c r="A20" s="2" t="s">
        <v>70</v>
      </c>
      <c r="B20" s="12">
        <f>B3*Assumptions!$B$7</f>
        <v>4635.75</v>
      </c>
      <c r="C20" s="12">
        <v>0</v>
      </c>
    </row>
    <row r="21" spans="1:3" x14ac:dyDescent="0.2">
      <c r="A21" s="2" t="s">
        <v>71</v>
      </c>
      <c r="B21" s="12">
        <f>B19+B20</f>
        <v>260264.25</v>
      </c>
      <c r="C21" s="12">
        <f>C19+C20</f>
        <v>251655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PMT(0.0622/12,30*12,-B21)</f>
        <v>1597.4170688307763</v>
      </c>
      <c r="C23" s="23">
        <f>PMT(C22/12,Assumptions!$B$9*12, -C21)</f>
        <v>1544.5763006506234</v>
      </c>
    </row>
    <row r="24" spans="1:3" x14ac:dyDescent="0.2">
      <c r="A24" s="2" t="s">
        <v>73</v>
      </c>
      <c r="B24" s="11">
        <f>B21*Assumptions!$B$8</f>
        <v>2212.2461250000001</v>
      </c>
      <c r="C24" s="11">
        <f>C21*Assumptions!$B$8</f>
        <v>2139.0675000000001</v>
      </c>
    </row>
    <row r="25" spans="1:3" x14ac:dyDescent="0.2">
      <c r="A25" s="17" t="s">
        <v>74</v>
      </c>
      <c r="B25" s="11">
        <f>B24/12</f>
        <v>184.35384375000001</v>
      </c>
      <c r="C25" s="11">
        <f>C24/12</f>
        <v>178.25562500000001</v>
      </c>
    </row>
    <row r="26" spans="1:3" x14ac:dyDescent="0.2">
      <c r="A26" s="20" t="s">
        <v>75</v>
      </c>
      <c r="B26" s="21">
        <f>B25*12*Assumptions!$B$9</f>
        <v>66367.383750000008</v>
      </c>
      <c r="C26" s="21">
        <f>C25*12*Assumptions!$B$9</f>
        <v>64172.025000000001</v>
      </c>
    </row>
    <row r="27" spans="1:3" x14ac:dyDescent="0.2">
      <c r="A27" s="1" t="s">
        <v>76</v>
      </c>
      <c r="B27" s="12">
        <f>$B$3*Assumptions!$B$2</f>
        <v>4145.6850000000004</v>
      </c>
      <c r="C27" s="12">
        <f>$B$3*Assumptions!$B$2</f>
        <v>4145.6850000000004</v>
      </c>
    </row>
    <row r="28" spans="1:3" x14ac:dyDescent="0.2">
      <c r="A28" s="2" t="s">
        <v>77</v>
      </c>
      <c r="B28" s="12">
        <f>B27/12</f>
        <v>345.47375000000005</v>
      </c>
      <c r="C28" s="12">
        <f>C27/12</f>
        <v>345.47375000000005</v>
      </c>
    </row>
    <row r="29" spans="1:3" x14ac:dyDescent="0.2">
      <c r="A29" s="1" t="s">
        <v>78</v>
      </c>
      <c r="B29" s="12">
        <f>B3*0.02</f>
        <v>5298</v>
      </c>
      <c r="C29" s="12">
        <f>B3*0.02</f>
        <v>5298</v>
      </c>
    </row>
    <row r="30" spans="1:3" x14ac:dyDescent="0.2">
      <c r="A30" s="2" t="s">
        <v>79</v>
      </c>
      <c r="B30" s="12">
        <f>B29/12</f>
        <v>441.5</v>
      </c>
      <c r="C30" s="12">
        <f>C29/12</f>
        <v>441.5</v>
      </c>
    </row>
    <row r="31" spans="1:3" x14ac:dyDescent="0.2">
      <c r="A31" s="4" t="s">
        <v>80</v>
      </c>
      <c r="B31" s="23">
        <f>B23+B25+B30+B28</f>
        <v>2568.7446625807765</v>
      </c>
      <c r="C31" s="23">
        <f>C23+C25+C30+C28</f>
        <v>2509.8056756506235</v>
      </c>
    </row>
    <row r="32" spans="1:3" x14ac:dyDescent="0.2">
      <c r="A32" s="1" t="s">
        <v>81</v>
      </c>
      <c r="B32" s="23">
        <f>Assumptions!$B$3*'518 35th St'!B31</f>
        <v>214.0620552150647</v>
      </c>
      <c r="C32" s="23">
        <f>Assumptions!$B$3*'518 35th St'!C31</f>
        <v>209.15047297088529</v>
      </c>
    </row>
    <row r="33" spans="1:3" x14ac:dyDescent="0.2">
      <c r="A33" s="1" t="s">
        <v>82</v>
      </c>
      <c r="B33" s="11">
        <f>B31*Assumptions!$B$4</f>
        <v>128.43723312903884</v>
      </c>
      <c r="C33" s="11">
        <f>C31*Assumptions!$B$4</f>
        <v>125.49028378253118</v>
      </c>
    </row>
    <row r="34" spans="1:3" x14ac:dyDescent="0.2">
      <c r="A34" s="24" t="s">
        <v>83</v>
      </c>
      <c r="B34" s="29">
        <f>SUM(B31:B33)</f>
        <v>2911.2439509248802</v>
      </c>
      <c r="C34" s="29">
        <f>SUM(C31:C33)</f>
        <v>2844.44643240404</v>
      </c>
    </row>
    <row r="35" spans="1:3" x14ac:dyDescent="0.2">
      <c r="A35" s="24" t="s">
        <v>84</v>
      </c>
      <c r="B35" s="11">
        <f>SUM(B13,B18)</f>
        <v>19867.5</v>
      </c>
      <c r="C35" s="11">
        <f>SUM(C13,C18)</f>
        <v>23841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58</v>
      </c>
      <c r="C39" s="19">
        <f>VLOOKUP(B39,$E$2:$F$7,2,FALSE)</f>
        <v>740</v>
      </c>
    </row>
    <row r="40" spans="1:3" x14ac:dyDescent="0.2">
      <c r="A40" s="2" t="s">
        <v>90</v>
      </c>
      <c r="B40" t="s">
        <v>49</v>
      </c>
      <c r="C40" s="19">
        <f>VLOOKUP(B40,$E$2:$F$5,2,FALSE)</f>
        <v>840</v>
      </c>
    </row>
    <row r="41" spans="1:3" x14ac:dyDescent="0.2">
      <c r="A41" s="2" t="s">
        <v>91</v>
      </c>
      <c r="B41" t="s">
        <v>50</v>
      </c>
      <c r="C41" s="19">
        <f>VLOOKUP(B41,$E$2:$F$5,2,FALSE)</f>
        <v>1150</v>
      </c>
    </row>
    <row r="42" spans="1:3" x14ac:dyDescent="0.2">
      <c r="A42" s="2" t="s">
        <v>92</v>
      </c>
      <c r="B42" t="s">
        <v>50</v>
      </c>
      <c r="C42" s="19">
        <f>VLOOKUP(B42,$E$2:$F$5,2,FALSE)</f>
        <v>1150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3880</v>
      </c>
    </row>
    <row r="45" spans="1:3" x14ac:dyDescent="0.2">
      <c r="A45" s="1" t="s">
        <v>95</v>
      </c>
      <c r="C45" s="12">
        <f>C44-VLOOKUP(B43,A39:C42,3,FALSE)</f>
        <v>3140</v>
      </c>
    </row>
    <row r="46" spans="1:3" x14ac:dyDescent="0.2">
      <c r="A46" s="1" t="s">
        <v>96</v>
      </c>
      <c r="B46" s="12">
        <f>C45-B34</f>
        <v>228.75604907511979</v>
      </c>
      <c r="C46" s="12">
        <f>C45-C34</f>
        <v>295.55356759595998</v>
      </c>
    </row>
    <row r="47" spans="1:3" x14ac:dyDescent="0.2">
      <c r="A47" s="1" t="s">
        <v>97</v>
      </c>
      <c r="B47" s="12">
        <f>C44-B34</f>
        <v>968.75604907511979</v>
      </c>
      <c r="C47" s="12">
        <f>C44-C34</f>
        <v>1035.55356759596</v>
      </c>
    </row>
    <row r="48" spans="1:3" x14ac:dyDescent="0.2">
      <c r="A48" s="1" t="s">
        <v>98</v>
      </c>
      <c r="B48" s="12">
        <f>B46*12</f>
        <v>2745.0725889014375</v>
      </c>
      <c r="C48" s="12">
        <f>C46*12</f>
        <v>3546.6428111515197</v>
      </c>
    </row>
    <row r="49" spans="1:3" x14ac:dyDescent="0.2">
      <c r="A49" s="1" t="s">
        <v>99</v>
      </c>
      <c r="B49" s="12">
        <f>B47*12</f>
        <v>11625.072588901437</v>
      </c>
      <c r="C49" s="12">
        <f>C47*12</f>
        <v>12426.64281115152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1.0362674929790251E-2</v>
      </c>
      <c r="C52" s="35">
        <f>C48/$B$3</f>
        <v>1.3388610083622196E-2</v>
      </c>
    </row>
    <row r="53" spans="1:3" x14ac:dyDescent="0.2">
      <c r="A53" s="27" t="s">
        <v>102</v>
      </c>
      <c r="B53" s="35">
        <f>B49/$B$3</f>
        <v>4.3884758734999765E-2</v>
      </c>
      <c r="C53" s="35">
        <f>C49/$B$3</f>
        <v>4.6910693888831706E-2</v>
      </c>
    </row>
    <row r="54" spans="1:3" x14ac:dyDescent="0.2">
      <c r="A54" s="27" t="s">
        <v>103</v>
      </c>
      <c r="B54" s="35">
        <f>B48/B$35</f>
        <v>0.13816899906387001</v>
      </c>
      <c r="C54" s="35">
        <f>C48/C35</f>
        <v>0.14876233426246885</v>
      </c>
    </row>
    <row r="55" spans="1:3" x14ac:dyDescent="0.2">
      <c r="A55" s="27" t="s">
        <v>104</v>
      </c>
      <c r="B55" s="35">
        <f>B49/B$35</f>
        <v>0.58513011646666357</v>
      </c>
      <c r="C55" s="35">
        <f>C49/C$35</f>
        <v>0.52122993209813007</v>
      </c>
    </row>
    <row r="56" spans="1:3" x14ac:dyDescent="0.2">
      <c r="A56" s="27" t="s">
        <v>105</v>
      </c>
      <c r="B56" s="38">
        <f>$B$3/C$44</f>
        <v>68.273195876288653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31" priority="4" operator="between">
      <formula>1300</formula>
      <formula>1500</formula>
    </cfRule>
    <cfRule type="cellIs" dxfId="30" priority="5" operator="lessThan">
      <formula>1200</formula>
    </cfRule>
    <cfRule type="cellIs" dxfId="29" priority="6" operator="greaterThan">
      <formula>1500</formula>
    </cfRule>
  </conditionalFormatting>
  <conditionalFormatting sqref="B34:C34">
    <cfRule type="cellIs" dxfId="28" priority="3" operator="between">
      <formula>1800</formula>
      <formula>2200</formula>
    </cfRule>
    <cfRule type="cellIs" dxfId="27" priority="9" stopIfTrue="1" operator="lessThan">
      <formula>1800</formula>
    </cfRule>
    <cfRule type="cellIs" dxfId="26" priority="10" stopIfTrue="1" operator="greaterThan">
      <formula>2200</formula>
    </cfRule>
  </conditionalFormatting>
  <conditionalFormatting sqref="B35:C35">
    <cfRule type="cellIs" dxfId="25" priority="2" operator="between">
      <formula>20000</formula>
      <formula>30000</formula>
    </cfRule>
    <cfRule type="cellIs" dxfId="24" priority="7" stopIfTrue="1" operator="lessThan">
      <formula>20000</formula>
    </cfRule>
    <cfRule type="cellIs" dxfId="23" priority="8" stopIfTrue="1" operator="greaterThan">
      <formula>30000</formula>
    </cfRule>
  </conditionalFormatting>
  <conditionalFormatting sqref="B46:C47">
    <cfRule type="cellIs" dxfId="22" priority="1" operator="between">
      <formula>100</formula>
      <formula>-150</formula>
    </cfRule>
    <cfRule type="cellIs" dxfId="21" priority="11" stopIfTrue="1" operator="greaterThan">
      <formula>100</formula>
    </cfRule>
    <cfRule type="cellIs" dxfId="20" priority="12" stopIfTrue="1" operator="lessThan">
      <formula>-150</formula>
    </cfRule>
  </conditionalFormatting>
  <dataValidations count="2">
    <dataValidation type="list" allowBlank="1" showInputMessage="1" showErrorMessage="1" sqref="B39:B42" xr:uid="{00000000-0002-0000-0900-000000000000}">
      <formula1>$E$2:$E$7</formula1>
    </dataValidation>
    <dataValidation type="list" allowBlank="1" showInputMessage="1" showErrorMessage="1" sqref="B43" xr:uid="{00000000-0002-0000-0900-000001000000}">
      <formula1>$A$39:$A$42</formula1>
    </dataValidation>
  </dataValidations>
  <hyperlinks>
    <hyperlink ref="B1" r:id="rId1" display="1148 36th St, Des Moines, IA 50311" xr:uid="{00000000-0004-0000-0900-000000000000}"/>
    <hyperlink ref="E1" r:id="rId2" xr:uid="{00000000-0004-0000-09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60"/>
  <sheetViews>
    <sheetView zoomScale="125" workbookViewId="0">
      <selection activeCell="B8" sqref="B8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119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9">
        <v>4</v>
      </c>
      <c r="E2" t="s">
        <v>49</v>
      </c>
      <c r="F2" s="10">
        <v>825</v>
      </c>
    </row>
    <row r="3" spans="1:6" x14ac:dyDescent="0.2">
      <c r="A3" s="1" t="s">
        <v>21</v>
      </c>
      <c r="B3" s="10">
        <v>355000</v>
      </c>
      <c r="E3" t="s">
        <v>50</v>
      </c>
      <c r="F3" s="10">
        <v>925</v>
      </c>
    </row>
    <row r="4" spans="1:6" x14ac:dyDescent="0.2">
      <c r="A4" s="1" t="s">
        <v>51</v>
      </c>
      <c r="B4">
        <v>2509</v>
      </c>
      <c r="E4" t="s">
        <v>52</v>
      </c>
      <c r="F4" s="10">
        <v>0</v>
      </c>
    </row>
    <row r="5" spans="1:6" x14ac:dyDescent="0.2">
      <c r="A5" s="1" t="s">
        <v>53</v>
      </c>
      <c r="B5">
        <v>6</v>
      </c>
      <c r="E5" t="s">
        <v>54</v>
      </c>
      <c r="F5" s="10">
        <v>0</v>
      </c>
    </row>
    <row r="6" spans="1:6" x14ac:dyDescent="0.2">
      <c r="A6" s="1" t="s">
        <v>55</v>
      </c>
      <c r="B6">
        <v>4</v>
      </c>
      <c r="E6" t="s">
        <v>116</v>
      </c>
      <c r="F6" s="10">
        <v>0</v>
      </c>
    </row>
    <row r="7" spans="1:6" x14ac:dyDescent="0.2">
      <c r="A7" s="1" t="s">
        <v>57</v>
      </c>
    </row>
    <row r="8" spans="1:6" x14ac:dyDescent="0.2">
      <c r="A8" s="1" t="s">
        <v>59</v>
      </c>
      <c r="B8">
        <v>1907</v>
      </c>
    </row>
    <row r="9" spans="1:6" x14ac:dyDescent="0.2">
      <c r="A9" s="1" t="s">
        <v>61</v>
      </c>
      <c r="B9" s="22">
        <f>B3/B4</f>
        <v>141.490633718613</v>
      </c>
    </row>
    <row r="10" spans="1:6" x14ac:dyDescent="0.2">
      <c r="A10" s="1"/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14200</v>
      </c>
      <c r="C13" s="12">
        <f>$B$3*Assumptions!$B$5</f>
        <v>14200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120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3.5000000000000003E-2</v>
      </c>
    </row>
    <row r="18" spans="1:3" x14ac:dyDescent="0.2">
      <c r="A18" s="2" t="s">
        <v>68</v>
      </c>
      <c r="B18" s="12">
        <f>$B$3*B17</f>
        <v>12425.000000000002</v>
      </c>
      <c r="C18" s="12">
        <f>$B$3*C17</f>
        <v>12425.000000000002</v>
      </c>
    </row>
    <row r="19" spans="1:3" x14ac:dyDescent="0.2">
      <c r="A19" s="2" t="s">
        <v>69</v>
      </c>
      <c r="B19" s="12">
        <f>$B$3-B18</f>
        <v>342575</v>
      </c>
      <c r="C19" s="12">
        <f>$B$3-C18</f>
        <v>342575</v>
      </c>
    </row>
    <row r="20" spans="1:3" x14ac:dyDescent="0.2">
      <c r="A20" s="2" t="s">
        <v>70</v>
      </c>
      <c r="B20" s="12">
        <f>B3*Assumptions!$B$7</f>
        <v>6212.5000000000009</v>
      </c>
      <c r="C20" s="12">
        <v>0</v>
      </c>
    </row>
    <row r="21" spans="1:3" x14ac:dyDescent="0.2">
      <c r="A21" s="2" t="s">
        <v>71</v>
      </c>
      <c r="B21" s="12">
        <f>B19+B20</f>
        <v>348787.5</v>
      </c>
      <c r="C21" s="12">
        <f>C19+C20</f>
        <v>342575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-'1148 36th St'!B21)</f>
        <v>2140.7439012265972</v>
      </c>
      <c r="C23" s="23">
        <f>PMT(C22/12,Assumptions!$B$9*12, -'1148 36th St'!C21)</f>
        <v>2102.6136027314669</v>
      </c>
    </row>
    <row r="24" spans="1:3" x14ac:dyDescent="0.2">
      <c r="A24" s="2" t="s">
        <v>73</v>
      </c>
      <c r="B24" s="11">
        <f>B21*Assumptions!$B$8</f>
        <v>2964.6937500000004</v>
      </c>
      <c r="C24" s="11">
        <f>C21*Assumptions!$B$8</f>
        <v>2911.8875000000003</v>
      </c>
    </row>
    <row r="25" spans="1:3" x14ac:dyDescent="0.2">
      <c r="A25" s="17" t="s">
        <v>74</v>
      </c>
      <c r="B25" s="11">
        <f>B24/12</f>
        <v>247.05781250000004</v>
      </c>
      <c r="C25" s="11">
        <f>C24/12</f>
        <v>242.65729166666668</v>
      </c>
    </row>
    <row r="26" spans="1:3" x14ac:dyDescent="0.2">
      <c r="A26" s="20" t="s">
        <v>75</v>
      </c>
      <c r="B26" s="21">
        <f>B25*12*Assumptions!$B$9</f>
        <v>88940.812500000015</v>
      </c>
      <c r="C26" s="21">
        <f>C25*12*Assumptions!$B$9</f>
        <v>87356.625000000015</v>
      </c>
    </row>
    <row r="27" spans="1:3" x14ac:dyDescent="0.2">
      <c r="A27" s="1" t="s">
        <v>76</v>
      </c>
      <c r="B27" s="12">
        <f>$B$3*Assumptions!$B$2</f>
        <v>5555.75</v>
      </c>
      <c r="C27" s="12">
        <f>$B$3*Assumptions!$B$2</f>
        <v>5555.75</v>
      </c>
    </row>
    <row r="28" spans="1:3" x14ac:dyDescent="0.2">
      <c r="A28" s="2" t="s">
        <v>77</v>
      </c>
      <c r="B28" s="12">
        <f>B27/12</f>
        <v>462.97916666666669</v>
      </c>
      <c r="C28" s="12">
        <f>C27/12</f>
        <v>462.97916666666669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2850.7808803932639</v>
      </c>
      <c r="C31" s="23">
        <f>C23+C25+C30+C28</f>
        <v>2808.2500610648003</v>
      </c>
    </row>
    <row r="32" spans="1:3" x14ac:dyDescent="0.2">
      <c r="A32" s="1" t="s">
        <v>81</v>
      </c>
      <c r="B32" s="23">
        <f>Assumptions!$B$3*'1148 36th St'!B31</f>
        <v>237.56507336610531</v>
      </c>
      <c r="C32" s="23">
        <f>Assumptions!$B$3*'1148 36th St'!C31</f>
        <v>234.02083842206667</v>
      </c>
    </row>
    <row r="33" spans="1:3" x14ac:dyDescent="0.2">
      <c r="A33" s="1" t="s">
        <v>82</v>
      </c>
      <c r="B33" s="11">
        <f>B31*Assumptions!$B$4</f>
        <v>142.53904401966321</v>
      </c>
      <c r="C33" s="11">
        <f>C31*Assumptions!$B$4</f>
        <v>140.41250305324002</v>
      </c>
    </row>
    <row r="34" spans="1:3" x14ac:dyDescent="0.2">
      <c r="A34" s="24" t="s">
        <v>83</v>
      </c>
      <c r="B34" s="29">
        <f>SUM(B31:B33)</f>
        <v>3230.8849977790328</v>
      </c>
      <c r="C34" s="29">
        <f>SUM(C31:C33)</f>
        <v>3182.6834025401072</v>
      </c>
    </row>
    <row r="35" spans="1:3" x14ac:dyDescent="0.2">
      <c r="A35" s="24" t="s">
        <v>84</v>
      </c>
      <c r="B35" s="11">
        <f>SUM(B13,B18)</f>
        <v>26625</v>
      </c>
      <c r="C35" s="11">
        <f>SUM(C13,C18)</f>
        <v>26625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49</v>
      </c>
      <c r="C39" s="19">
        <f>VLOOKUP(B39,$E$2:$F$5,2,FALSE)</f>
        <v>825</v>
      </c>
    </row>
    <row r="40" spans="1:3" x14ac:dyDescent="0.2">
      <c r="A40" s="2" t="s">
        <v>90</v>
      </c>
      <c r="B40" t="s">
        <v>49</v>
      </c>
      <c r="C40" s="19">
        <f>VLOOKUP(B40,$E$2:$F$5,2,FALSE)</f>
        <v>825</v>
      </c>
    </row>
    <row r="41" spans="1:3" x14ac:dyDescent="0.2">
      <c r="A41" s="2" t="s">
        <v>91</v>
      </c>
      <c r="B41" t="s">
        <v>50</v>
      </c>
      <c r="C41" s="19">
        <f>VLOOKUP(B41,$E$2:$F$5,2,FALSE)</f>
        <v>925</v>
      </c>
    </row>
    <row r="42" spans="1:3" x14ac:dyDescent="0.2">
      <c r="A42" s="2" t="s">
        <v>92</v>
      </c>
      <c r="B42" t="s">
        <v>50</v>
      </c>
      <c r="C42" s="19">
        <f>VLOOKUP(B42,$E$2:$F$5,2,FALSE)</f>
        <v>925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3500</v>
      </c>
    </row>
    <row r="45" spans="1:3" x14ac:dyDescent="0.2">
      <c r="A45" s="1" t="s">
        <v>95</v>
      </c>
      <c r="C45" s="12">
        <f>C44-VLOOKUP(B43,A39:C42,3,FALSE)</f>
        <v>2675</v>
      </c>
    </row>
    <row r="46" spans="1:3" x14ac:dyDescent="0.2">
      <c r="A46" s="1" t="s">
        <v>121</v>
      </c>
      <c r="B46" s="12">
        <f>C45-B34</f>
        <v>-555.8849977790328</v>
      </c>
      <c r="C46" s="12">
        <f>C45-C34</f>
        <v>-507.68340254010718</v>
      </c>
    </row>
    <row r="47" spans="1:3" x14ac:dyDescent="0.2">
      <c r="A47" s="1" t="s">
        <v>122</v>
      </c>
      <c r="B47" s="12">
        <f>C44-B34</f>
        <v>269.1150022209672</v>
      </c>
      <c r="C47" s="12">
        <f>C44-C34</f>
        <v>317.31659745989282</v>
      </c>
    </row>
    <row r="48" spans="1:3" x14ac:dyDescent="0.2">
      <c r="A48" s="1" t="s">
        <v>98</v>
      </c>
      <c r="B48" s="12">
        <f>B46*12</f>
        <v>-6670.6199733483936</v>
      </c>
      <c r="C48" s="12">
        <f>C46*12</f>
        <v>-6092.2008304812862</v>
      </c>
    </row>
    <row r="49" spans="1:3" x14ac:dyDescent="0.2">
      <c r="A49" s="1" t="s">
        <v>99</v>
      </c>
      <c r="B49" s="12">
        <f>B47*12</f>
        <v>3229.3800266516064</v>
      </c>
      <c r="C49" s="12">
        <f>C47*12</f>
        <v>3807.7991695187138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7">
        <f>B46/$B$3</f>
        <v>-1.5658732331803741E-3</v>
      </c>
      <c r="C52" s="7">
        <f>C46/$B$3</f>
        <v>-1.4300940916622737E-3</v>
      </c>
    </row>
    <row r="53" spans="1:3" x14ac:dyDescent="0.2">
      <c r="A53" s="27" t="s">
        <v>102</v>
      </c>
      <c r="B53" s="7">
        <f>B47/$B$3</f>
        <v>7.5807042879145689E-4</v>
      </c>
      <c r="C53" s="7">
        <f>C47/$B$3</f>
        <v>8.9384957030955723E-4</v>
      </c>
    </row>
    <row r="54" spans="1:3" x14ac:dyDescent="0.2">
      <c r="A54" s="27" t="s">
        <v>103</v>
      </c>
      <c r="B54" s="7">
        <f>B46/B$35</f>
        <v>-2.0878309775738322E-2</v>
      </c>
      <c r="C54" s="7">
        <f>C46/C$35</f>
        <v>-1.906792122216365E-2</v>
      </c>
    </row>
    <row r="55" spans="1:3" x14ac:dyDescent="0.2">
      <c r="A55" s="27" t="s">
        <v>104</v>
      </c>
      <c r="B55" s="7">
        <f>B47/B$35</f>
        <v>1.0107605717219425E-2</v>
      </c>
      <c r="C55" s="7">
        <f>C47/C$35</f>
        <v>1.1917994270794097E-2</v>
      </c>
    </row>
    <row r="56" spans="1:3" x14ac:dyDescent="0.2">
      <c r="A56" s="27" t="s">
        <v>105</v>
      </c>
      <c r="B56" s="43">
        <f>$B$3/C$44</f>
        <v>101.42857142857143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19" priority="1" operator="lessThan">
      <formula>1200</formula>
    </cfRule>
    <cfRule type="cellIs" dxfId="18" priority="2" operator="greaterThan">
      <formula>1200</formula>
    </cfRule>
  </conditionalFormatting>
  <conditionalFormatting sqref="B34:C34">
    <cfRule type="cellIs" dxfId="17" priority="5" operator="lessThan">
      <formula>1500</formula>
    </cfRule>
    <cfRule type="cellIs" dxfId="16" priority="6" operator="greaterThan">
      <formula>1500</formula>
    </cfRule>
  </conditionalFormatting>
  <conditionalFormatting sqref="B35:C35">
    <cfRule type="cellIs" dxfId="15" priority="3" operator="lessThan">
      <formula>25000</formula>
    </cfRule>
    <cfRule type="cellIs" dxfId="14" priority="4" operator="greaterThan">
      <formula>25000</formula>
    </cfRule>
  </conditionalFormatting>
  <conditionalFormatting sqref="B46:C47">
    <cfRule type="cellIs" dxfId="13" priority="7" operator="greaterThan">
      <formula>0</formula>
    </cfRule>
    <cfRule type="cellIs" dxfId="12" priority="8" operator="lessThan">
      <formula>0</formula>
    </cfRule>
  </conditionalFormatting>
  <dataValidations count="2">
    <dataValidation type="list" allowBlank="1" showInputMessage="1" showErrorMessage="1" sqref="B43" xr:uid="{00000000-0002-0000-0A00-000000000000}">
      <formula1>$A$39:$A$42</formula1>
    </dataValidation>
    <dataValidation type="list" allowBlank="1" showInputMessage="1" showErrorMessage="1" sqref="B39:B42" xr:uid="{00000000-0002-0000-0A00-000001000000}">
      <formula1>$E$2:$E$6</formula1>
    </dataValidation>
  </dataValidations>
  <hyperlinks>
    <hyperlink ref="B1" r:id="rId1" xr:uid="{00000000-0004-0000-0A00-000000000000}"/>
    <hyperlink ref="E1" r:id="rId2" display="Claude Report Assumptions" xr:uid="{00000000-0004-0000-0A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0"/>
  <sheetViews>
    <sheetView topLeftCell="A12" zoomScale="150" workbookViewId="0">
      <selection activeCell="B29" sqref="B29"/>
    </sheetView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123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0</v>
      </c>
      <c r="E2" t="s">
        <v>49</v>
      </c>
      <c r="F2" s="10">
        <v>0</v>
      </c>
    </row>
    <row r="3" spans="1:6" x14ac:dyDescent="0.2">
      <c r="A3" s="1" t="s">
        <v>21</v>
      </c>
      <c r="B3" s="10">
        <v>0</v>
      </c>
      <c r="E3" t="s">
        <v>50</v>
      </c>
      <c r="F3" s="10">
        <v>0</v>
      </c>
    </row>
    <row r="4" spans="1:6" x14ac:dyDescent="0.2">
      <c r="A4" s="1" t="s">
        <v>51</v>
      </c>
      <c r="B4">
        <v>0</v>
      </c>
      <c r="E4" t="s">
        <v>52</v>
      </c>
      <c r="F4" s="10">
        <v>0</v>
      </c>
    </row>
    <row r="5" spans="1:6" x14ac:dyDescent="0.2">
      <c r="A5" s="1" t="s">
        <v>53</v>
      </c>
      <c r="B5">
        <v>0</v>
      </c>
      <c r="E5" t="s">
        <v>54</v>
      </c>
      <c r="F5" s="10">
        <v>0</v>
      </c>
    </row>
    <row r="6" spans="1:6" x14ac:dyDescent="0.2">
      <c r="A6" s="1" t="s">
        <v>55</v>
      </c>
      <c r="B6">
        <v>0</v>
      </c>
      <c r="E6" t="s">
        <v>56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0</v>
      </c>
      <c r="E8" t="s">
        <v>60</v>
      </c>
      <c r="F8" s="10">
        <v>0</v>
      </c>
    </row>
    <row r="9" spans="1:6" x14ac:dyDescent="0.2">
      <c r="A9" s="1" t="s">
        <v>61</v>
      </c>
      <c r="B9" s="22" t="e">
        <f>B3/B4</f>
        <v>#DIV/0!</v>
      </c>
      <c r="E9" t="s">
        <v>112</v>
      </c>
      <c r="F9" s="10">
        <v>0</v>
      </c>
    </row>
    <row r="10" spans="1:6" x14ac:dyDescent="0.2">
      <c r="A10" s="1"/>
      <c r="E10" t="s">
        <v>116</v>
      </c>
      <c r="F10" s="10">
        <v>0</v>
      </c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0</v>
      </c>
      <c r="C13" s="12">
        <f>$B$3*Assumptions!$B$5</f>
        <v>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0</v>
      </c>
      <c r="C18" s="12">
        <f>$B$3*C17</f>
        <v>0</v>
      </c>
    </row>
    <row r="19" spans="1:3" x14ac:dyDescent="0.2">
      <c r="A19" s="2" t="s">
        <v>69</v>
      </c>
      <c r="B19" s="12">
        <f>$B$3-B18</f>
        <v>0</v>
      </c>
      <c r="C19" s="12">
        <f>$B$3-C18</f>
        <v>0</v>
      </c>
    </row>
    <row r="20" spans="1:3" x14ac:dyDescent="0.2">
      <c r="A20" s="2" t="s">
        <v>70</v>
      </c>
      <c r="B20" s="12">
        <f>B3*Assumptions!$B$7</f>
        <v>0</v>
      </c>
      <c r="C20" s="12">
        <v>0</v>
      </c>
    </row>
    <row r="21" spans="1:3" x14ac:dyDescent="0.2">
      <c r="A21" s="2" t="s">
        <v>71</v>
      </c>
      <c r="B21" s="12">
        <f>B19+B20</f>
        <v>0</v>
      </c>
      <c r="C21" s="12">
        <f>C19+C20</f>
        <v>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0</v>
      </c>
      <c r="C23" s="23">
        <f>PMT(C22/12,Assumptions!$B$9*12, -C21)</f>
        <v>0</v>
      </c>
    </row>
    <row r="24" spans="1:3" x14ac:dyDescent="0.2">
      <c r="A24" s="2" t="s">
        <v>73</v>
      </c>
      <c r="B24" s="11">
        <f>B21*Assumptions!$B$8</f>
        <v>0</v>
      </c>
      <c r="C24" s="11">
        <f>C21*Assumptions!$B$8</f>
        <v>0</v>
      </c>
    </row>
    <row r="25" spans="1:3" x14ac:dyDescent="0.2">
      <c r="A25" s="17" t="s">
        <v>74</v>
      </c>
      <c r="B25" s="11">
        <f>B24/12</f>
        <v>0</v>
      </c>
      <c r="C25" s="11">
        <f>C24/12</f>
        <v>0</v>
      </c>
    </row>
    <row r="26" spans="1:3" x14ac:dyDescent="0.2">
      <c r="A26" s="20" t="s">
        <v>75</v>
      </c>
      <c r="B26" s="21">
        <f>B25*12*Assumptions!$B$9</f>
        <v>0</v>
      </c>
      <c r="C26" s="21">
        <f>C25*12*Assumptions!$B$9</f>
        <v>0</v>
      </c>
    </row>
    <row r="27" spans="1:3" x14ac:dyDescent="0.2">
      <c r="A27" s="1" t="s">
        <v>76</v>
      </c>
      <c r="B27" s="12">
        <f>$B$3*Assumptions!$B$2</f>
        <v>0</v>
      </c>
      <c r="C27" s="12">
        <f>$B$3*Assumptions!$B$2</f>
        <v>0</v>
      </c>
    </row>
    <row r="28" spans="1:3" x14ac:dyDescent="0.2">
      <c r="A28" s="2" t="s">
        <v>77</v>
      </c>
      <c r="B28" s="12">
        <f>B27/12</f>
        <v>0</v>
      </c>
      <c r="C28" s="12">
        <f>C27/12</f>
        <v>0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0</v>
      </c>
      <c r="C31" s="23">
        <f>C23+C25+C30+C28</f>
        <v>0</v>
      </c>
    </row>
    <row r="32" spans="1:3" x14ac:dyDescent="0.2">
      <c r="A32" s="1" t="s">
        <v>81</v>
      </c>
      <c r="B32" s="23">
        <f>Assumptions!$B$3*B31</f>
        <v>0</v>
      </c>
      <c r="C32" s="23">
        <f>Assumptions!$B$3*C31</f>
        <v>0</v>
      </c>
    </row>
    <row r="33" spans="1:3" x14ac:dyDescent="0.2">
      <c r="A33" s="1" t="s">
        <v>82</v>
      </c>
      <c r="B33" s="11">
        <f>B31*Assumptions!$B$4</f>
        <v>0</v>
      </c>
      <c r="C33" s="11">
        <f>C31*Assumptions!$B$4</f>
        <v>0</v>
      </c>
    </row>
    <row r="34" spans="1:3" x14ac:dyDescent="0.2">
      <c r="A34" s="24" t="s">
        <v>83</v>
      </c>
      <c r="B34" s="29">
        <f>SUM(B31:B33)</f>
        <v>0</v>
      </c>
      <c r="C34" s="29">
        <f>SUM(C31:C33)</f>
        <v>0</v>
      </c>
    </row>
    <row r="35" spans="1:3" x14ac:dyDescent="0.2">
      <c r="A35" s="24" t="s">
        <v>84</v>
      </c>
      <c r="B35" s="11">
        <f>SUM(B13,B18)</f>
        <v>0</v>
      </c>
      <c r="C35" s="11">
        <f>SUM(C13,C18)</f>
        <v>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60</v>
      </c>
      <c r="C39" s="19">
        <f>VLOOKUP(B39,$E$2:$F$10,2,FALSE)</f>
        <v>0</v>
      </c>
    </row>
    <row r="40" spans="1:3" x14ac:dyDescent="0.2">
      <c r="A40" s="2" t="s">
        <v>90</v>
      </c>
      <c r="B40" t="s">
        <v>60</v>
      </c>
      <c r="C40" s="19">
        <f>VLOOKUP(B40,$E$2:$F$10,2,FALSE)</f>
        <v>0</v>
      </c>
    </row>
    <row r="41" spans="1:3" x14ac:dyDescent="0.2">
      <c r="A41" s="2" t="s">
        <v>91</v>
      </c>
      <c r="B41" t="s">
        <v>60</v>
      </c>
      <c r="C41" s="19">
        <f>VLOOKUP(B41,$E$2:$F$10,2,FALSE)</f>
        <v>0</v>
      </c>
    </row>
    <row r="42" spans="1:3" x14ac:dyDescent="0.2">
      <c r="A42" s="2" t="s">
        <v>92</v>
      </c>
      <c r="B42" t="s">
        <v>60</v>
      </c>
      <c r="C42" s="19">
        <f>VLOOKUP(B42,$E$2:$F$10,2,FALSE)</f>
        <v>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0</v>
      </c>
    </row>
    <row r="45" spans="1:3" x14ac:dyDescent="0.2">
      <c r="A45" s="1" t="s">
        <v>95</v>
      </c>
      <c r="C45" s="12">
        <f>C44-VLOOKUP(B43,A39:C42,3,FALSE)</f>
        <v>0</v>
      </c>
    </row>
    <row r="46" spans="1:3" x14ac:dyDescent="0.2">
      <c r="A46" s="1" t="s">
        <v>96</v>
      </c>
      <c r="B46" s="12">
        <f>C45-B34</f>
        <v>0</v>
      </c>
      <c r="C46" s="12">
        <f>C45-C34</f>
        <v>0</v>
      </c>
    </row>
    <row r="47" spans="1:3" x14ac:dyDescent="0.2">
      <c r="A47" s="1" t="s">
        <v>97</v>
      </c>
      <c r="B47" s="12">
        <f>C44-B34</f>
        <v>0</v>
      </c>
      <c r="C47" s="12">
        <f>C44-C34</f>
        <v>0</v>
      </c>
    </row>
    <row r="48" spans="1:3" x14ac:dyDescent="0.2">
      <c r="A48" s="1" t="s">
        <v>98</v>
      </c>
      <c r="B48" s="12">
        <f>B46*12</f>
        <v>0</v>
      </c>
      <c r="C48" s="12">
        <f>C46*12</f>
        <v>0</v>
      </c>
    </row>
    <row r="49" spans="1:3" x14ac:dyDescent="0.2">
      <c r="A49" s="1" t="s">
        <v>99</v>
      </c>
      <c r="B49" s="12">
        <f>B47*12</f>
        <v>0</v>
      </c>
      <c r="C49" s="12">
        <f>C47*12</f>
        <v>0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 t="e">
        <f>B48/$B$3</f>
        <v>#DIV/0!</v>
      </c>
      <c r="C52" s="35" t="e">
        <f>C48/$B$3</f>
        <v>#DIV/0!</v>
      </c>
    </row>
    <row r="53" spans="1:3" x14ac:dyDescent="0.2">
      <c r="A53" s="27" t="s">
        <v>102</v>
      </c>
      <c r="B53" s="35" t="e">
        <f>B49/$B$3</f>
        <v>#DIV/0!</v>
      </c>
      <c r="C53" s="35" t="e">
        <f>C49/$B$3</f>
        <v>#DIV/0!</v>
      </c>
    </row>
    <row r="54" spans="1:3" x14ac:dyDescent="0.2">
      <c r="A54" s="27" t="s">
        <v>103</v>
      </c>
      <c r="B54" s="35" t="e">
        <f>B48/B$35</f>
        <v>#DIV/0!</v>
      </c>
      <c r="C54" s="35" t="e">
        <f>C48/C35</f>
        <v>#DIV/0!</v>
      </c>
    </row>
    <row r="55" spans="1:3" x14ac:dyDescent="0.2">
      <c r="A55" s="27" t="s">
        <v>104</v>
      </c>
      <c r="B55" s="35" t="e">
        <f>B49/B$35</f>
        <v>#DIV/0!</v>
      </c>
      <c r="C55" s="35" t="e">
        <f>C49/C$35</f>
        <v>#DIV/0!</v>
      </c>
    </row>
    <row r="56" spans="1:3" x14ac:dyDescent="0.2">
      <c r="A56" s="27" t="s">
        <v>105</v>
      </c>
      <c r="B56" s="38" t="e">
        <f>$B$3/C$44</f>
        <v>#DIV/0!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conditionalFormatting sqref="B23:C23">
    <cfRule type="cellIs" dxfId="11" priority="4" operator="between">
      <formula>1300</formula>
      <formula>1500</formula>
    </cfRule>
    <cfRule type="cellIs" dxfId="10" priority="5" operator="lessThan">
      <formula>1200</formula>
    </cfRule>
    <cfRule type="cellIs" dxfId="9" priority="6" operator="greaterThan">
      <formula>1500</formula>
    </cfRule>
  </conditionalFormatting>
  <conditionalFormatting sqref="B34:C34">
    <cfRule type="cellIs" dxfId="8" priority="3" operator="between">
      <formula>1800</formula>
      <formula>2200</formula>
    </cfRule>
    <cfRule type="cellIs" dxfId="7" priority="9" stopIfTrue="1" operator="lessThan">
      <formula>1800</formula>
    </cfRule>
    <cfRule type="cellIs" dxfId="6" priority="10" stopIfTrue="1" operator="greaterThan">
      <formula>2200</formula>
    </cfRule>
  </conditionalFormatting>
  <conditionalFormatting sqref="B35:C35">
    <cfRule type="cellIs" dxfId="5" priority="2" operator="between">
      <formula>20000</formula>
      <formula>30000</formula>
    </cfRule>
    <cfRule type="cellIs" dxfId="4" priority="7" stopIfTrue="1" operator="lessThan">
      <formula>20000</formula>
    </cfRule>
    <cfRule type="cellIs" dxfId="3" priority="8" stopIfTrue="1" operator="greaterThan">
      <formula>30000</formula>
    </cfRule>
  </conditionalFormatting>
  <conditionalFormatting sqref="B46:C47">
    <cfRule type="cellIs" dxfId="2" priority="1" operator="between">
      <formula>100</formula>
      <formula>-150</formula>
    </cfRule>
    <cfRule type="cellIs" dxfId="1" priority="11" stopIfTrue="1" operator="greaterThan">
      <formula>100</formula>
    </cfRule>
    <cfRule type="cellIs" dxfId="0" priority="12" stopIfTrue="1" operator="lessThan">
      <formula>-150</formula>
    </cfRule>
  </conditionalFormatting>
  <dataValidations count="2">
    <dataValidation type="list" allowBlank="1" showInputMessage="1" showErrorMessage="1" sqref="B39:B42" xr:uid="{00000000-0002-0000-0B00-000000000000}">
      <formula1>$E$2:$E$10</formula1>
    </dataValidation>
    <dataValidation type="list" allowBlank="1" showInputMessage="1" showErrorMessage="1" sqref="B43" xr:uid="{00000000-0002-0000-0B00-000001000000}">
      <formula1>$A$39:$A$42</formula1>
    </dataValidation>
  </dataValidations>
  <hyperlinks>
    <hyperlink ref="B1" r:id="rId1" display="1514 Harrison Ave, Des Moines, IA 50314" xr:uid="{00000000-0004-0000-0B00-000000000000}"/>
    <hyperlink ref="E1" r:id="rId2" xr:uid="{00000000-0004-0000-0B00-000001000000}"/>
  </hyperlinks>
  <pageMargins left="0.7" right="0.7" top="0.75" bottom="0.75" header="0.3" footer="0.3"/>
  <pageSetup orientation="portrait" horizontalDpi="0" verticalDpi="0"/>
  <headerFooter>
    <oddFooter>&amp;R&amp;"Aptos"&amp;10 &amp;KFF0000_x000D_# Confidential with Personal Information_x000D_&amp;1#&amp;"Aptos"&amp;10&amp;KFF0000 Confidential with Personal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0"/>
  <sheetViews>
    <sheetView workbookViewId="0"/>
  </sheetViews>
  <sheetFormatPr baseColWidth="10" defaultRowHeight="16" x14ac:dyDescent="0.2"/>
  <cols>
    <col min="1" max="1" width="33.33203125" customWidth="1"/>
    <col min="2" max="2" width="21.83203125" customWidth="1"/>
    <col min="3" max="3" width="19.1640625" customWidth="1"/>
    <col min="4" max="4" width="14" customWidth="1"/>
    <col min="5" max="5" width="23.83203125" customWidth="1"/>
  </cols>
  <sheetData>
    <row r="1" spans="1:6" s="9" customFormat="1" ht="37" customHeight="1" x14ac:dyDescent="0.2">
      <c r="A1" s="8" t="s">
        <v>44</v>
      </c>
      <c r="B1" s="40" t="s">
        <v>124</v>
      </c>
      <c r="C1" s="41"/>
      <c r="E1" s="28" t="s">
        <v>46</v>
      </c>
      <c r="F1" s="3" t="s">
        <v>47</v>
      </c>
    </row>
    <row r="2" spans="1:6" s="9" customFormat="1" ht="19" customHeight="1" x14ac:dyDescent="0.2">
      <c r="A2" s="25" t="s">
        <v>48</v>
      </c>
      <c r="B2" s="26">
        <v>3</v>
      </c>
      <c r="E2" t="s">
        <v>49</v>
      </c>
      <c r="F2" s="10">
        <v>0</v>
      </c>
    </row>
    <row r="3" spans="1:6" x14ac:dyDescent="0.2">
      <c r="A3" s="1" t="s">
        <v>21</v>
      </c>
      <c r="B3" s="10">
        <v>225000</v>
      </c>
      <c r="E3" t="s">
        <v>50</v>
      </c>
      <c r="F3" s="10">
        <v>0</v>
      </c>
    </row>
    <row r="4" spans="1:6" x14ac:dyDescent="0.2">
      <c r="A4" s="1" t="s">
        <v>51</v>
      </c>
      <c r="B4">
        <v>2851</v>
      </c>
      <c r="E4" t="s">
        <v>52</v>
      </c>
      <c r="F4" s="10">
        <v>0</v>
      </c>
    </row>
    <row r="5" spans="1:6" x14ac:dyDescent="0.2">
      <c r="A5" s="1" t="s">
        <v>53</v>
      </c>
      <c r="B5">
        <v>6</v>
      </c>
      <c r="E5" t="s">
        <v>54</v>
      </c>
      <c r="F5" s="10">
        <v>0</v>
      </c>
    </row>
    <row r="6" spans="1:6" x14ac:dyDescent="0.2">
      <c r="A6" s="1" t="s">
        <v>55</v>
      </c>
      <c r="B6">
        <v>3</v>
      </c>
      <c r="E6" t="s">
        <v>56</v>
      </c>
      <c r="F6" s="10">
        <v>0</v>
      </c>
    </row>
    <row r="7" spans="1:6" x14ac:dyDescent="0.2">
      <c r="A7" s="1" t="s">
        <v>57</v>
      </c>
      <c r="B7">
        <v>0</v>
      </c>
      <c r="E7" t="s">
        <v>58</v>
      </c>
      <c r="F7" s="10">
        <v>0</v>
      </c>
    </row>
    <row r="8" spans="1:6" x14ac:dyDescent="0.2">
      <c r="A8" s="1" t="s">
        <v>59</v>
      </c>
      <c r="B8">
        <v>1909</v>
      </c>
      <c r="E8" t="s">
        <v>60</v>
      </c>
      <c r="F8" s="10">
        <v>0</v>
      </c>
    </row>
    <row r="9" spans="1:6" x14ac:dyDescent="0.2">
      <c r="A9" s="1" t="s">
        <v>61</v>
      </c>
      <c r="B9" s="22">
        <f>B3/B4</f>
        <v>78.919677306208342</v>
      </c>
      <c r="E9" t="s">
        <v>112</v>
      </c>
      <c r="F9" s="10">
        <v>0</v>
      </c>
    </row>
    <row r="10" spans="1:6" x14ac:dyDescent="0.2">
      <c r="A10" s="1"/>
      <c r="E10" t="s">
        <v>116</v>
      </c>
      <c r="F10" s="10">
        <v>0</v>
      </c>
    </row>
    <row r="12" spans="1:6" x14ac:dyDescent="0.2">
      <c r="A12" s="3" t="s">
        <v>62</v>
      </c>
    </row>
    <row r="13" spans="1:6" x14ac:dyDescent="0.2">
      <c r="A13" s="5" t="s">
        <v>63</v>
      </c>
      <c r="B13" s="12">
        <f>$B$3*Assumptions!$B$5</f>
        <v>9000</v>
      </c>
      <c r="C13" s="12">
        <f>$B$3*Assumptions!$B$5</f>
        <v>9000</v>
      </c>
    </row>
    <row r="14" spans="1:6" x14ac:dyDescent="0.2">
      <c r="A14" s="5" t="s">
        <v>64</v>
      </c>
    </row>
    <row r="15" spans="1:6" x14ac:dyDescent="0.2">
      <c r="A15" s="4" t="s">
        <v>65</v>
      </c>
    </row>
    <row r="16" spans="1:6" x14ac:dyDescent="0.2">
      <c r="A16" s="13" t="s">
        <v>66</v>
      </c>
      <c r="B16" s="16" t="s">
        <v>5</v>
      </c>
      <c r="C16" s="16" t="s">
        <v>7</v>
      </c>
    </row>
    <row r="17" spans="1:3" x14ac:dyDescent="0.2">
      <c r="A17" s="13" t="s">
        <v>67</v>
      </c>
      <c r="B17" s="15">
        <f>IF(B16="Conventional - 5%",0.05,0.035)</f>
        <v>3.5000000000000003E-2</v>
      </c>
      <c r="C17" s="15">
        <f>IF(C16="Conventional - 5%",0.05,0.035)</f>
        <v>0.05</v>
      </c>
    </row>
    <row r="18" spans="1:3" x14ac:dyDescent="0.2">
      <c r="A18" s="2" t="s">
        <v>68</v>
      </c>
      <c r="B18" s="12">
        <f>$B$3*B17</f>
        <v>7875.0000000000009</v>
      </c>
      <c r="C18" s="12">
        <f>$B$3*C17</f>
        <v>11250</v>
      </c>
    </row>
    <row r="19" spans="1:3" x14ac:dyDescent="0.2">
      <c r="A19" s="2" t="s">
        <v>69</v>
      </c>
      <c r="B19" s="12">
        <f>$B$3-B18</f>
        <v>217125</v>
      </c>
      <c r="C19" s="12">
        <f>$B$3-C18</f>
        <v>213750</v>
      </c>
    </row>
    <row r="20" spans="1:3" x14ac:dyDescent="0.2">
      <c r="A20" s="2" t="s">
        <v>70</v>
      </c>
      <c r="B20" s="12">
        <f>B3*Assumptions!$B$7</f>
        <v>3937.5000000000005</v>
      </c>
      <c r="C20" s="12">
        <v>0</v>
      </c>
    </row>
    <row r="21" spans="1:3" x14ac:dyDescent="0.2">
      <c r="A21" s="2" t="s">
        <v>71</v>
      </c>
      <c r="B21" s="12">
        <f>B19+B20</f>
        <v>221062.5</v>
      </c>
      <c r="C21" s="12">
        <f>C19+C20</f>
        <v>213750</v>
      </c>
    </row>
    <row r="22" spans="1:3" x14ac:dyDescent="0.2">
      <c r="A22" s="2" t="s">
        <v>10</v>
      </c>
      <c r="B22" s="14">
        <f>Assumptions!$B$6</f>
        <v>6.2199999999999998E-2</v>
      </c>
      <c r="C22" s="14">
        <f>Assumptions!$B$6</f>
        <v>6.2199999999999998E-2</v>
      </c>
    </row>
    <row r="23" spans="1:3" x14ac:dyDescent="0.2">
      <c r="A23" s="2" t="s">
        <v>72</v>
      </c>
      <c r="B23" s="23">
        <f>PMT(B22/12,Assumptions!$B$9*12, -B21)</f>
        <v>1356.8095148619277</v>
      </c>
      <c r="C23" s="23">
        <f>PMT(C22/12,Assumptions!$B$9*12, -C21)</f>
        <v>1311.9277751845611</v>
      </c>
    </row>
    <row r="24" spans="1:3" x14ac:dyDescent="0.2">
      <c r="A24" s="2" t="s">
        <v>73</v>
      </c>
      <c r="B24" s="11">
        <f>B21*Assumptions!$B$8</f>
        <v>1879.0312500000002</v>
      </c>
      <c r="C24" s="11">
        <f>C21*Assumptions!$B$8</f>
        <v>1816.8750000000002</v>
      </c>
    </row>
    <row r="25" spans="1:3" x14ac:dyDescent="0.2">
      <c r="A25" s="17" t="s">
        <v>74</v>
      </c>
      <c r="B25" s="11">
        <f>B24/12</f>
        <v>156.58593750000003</v>
      </c>
      <c r="C25" s="11">
        <f>C24/12</f>
        <v>151.40625000000003</v>
      </c>
    </row>
    <row r="26" spans="1:3" x14ac:dyDescent="0.2">
      <c r="A26" s="20" t="s">
        <v>75</v>
      </c>
      <c r="B26" s="21">
        <f>B25*12*Assumptions!$B$9</f>
        <v>56370.937500000015</v>
      </c>
      <c r="C26" s="21">
        <f>C25*12*Assumptions!$B$9</f>
        <v>54506.250000000015</v>
      </c>
    </row>
    <row r="27" spans="1:3" x14ac:dyDescent="0.2">
      <c r="A27" s="1" t="s">
        <v>76</v>
      </c>
      <c r="B27" s="12">
        <f>$B$3*Assumptions!$B$2</f>
        <v>3521.25</v>
      </c>
      <c r="C27" s="12">
        <f>$B$3*Assumptions!$B$2</f>
        <v>3521.25</v>
      </c>
    </row>
    <row r="28" spans="1:3" x14ac:dyDescent="0.2">
      <c r="A28" s="2" t="s">
        <v>77</v>
      </c>
      <c r="B28" s="12">
        <f>B27/12</f>
        <v>293.4375</v>
      </c>
      <c r="C28" s="12">
        <f>C27/12</f>
        <v>293.4375</v>
      </c>
    </row>
    <row r="29" spans="1:3" x14ac:dyDescent="0.2">
      <c r="A29" s="1" t="s">
        <v>78</v>
      </c>
      <c r="B29" s="12">
        <f>$B$3*Assumptions!$B$10</f>
        <v>0</v>
      </c>
      <c r="C29" s="12">
        <f>$B$3*Assumptions!$B$10</f>
        <v>0</v>
      </c>
    </row>
    <row r="30" spans="1:3" x14ac:dyDescent="0.2">
      <c r="A30" s="2" t="s">
        <v>79</v>
      </c>
      <c r="B30" s="12">
        <f>B29/12</f>
        <v>0</v>
      </c>
      <c r="C30" s="12">
        <f>C29/12</f>
        <v>0</v>
      </c>
    </row>
    <row r="31" spans="1:3" x14ac:dyDescent="0.2">
      <c r="A31" s="4" t="s">
        <v>80</v>
      </c>
      <c r="B31" s="23">
        <f>B23+B25+B30+B28</f>
        <v>1806.8329523619277</v>
      </c>
      <c r="C31" s="23">
        <f>C23+C25+C30+C28</f>
        <v>1756.7715251845611</v>
      </c>
    </row>
    <row r="32" spans="1:3" x14ac:dyDescent="0.2">
      <c r="A32" s="1" t="s">
        <v>81</v>
      </c>
      <c r="B32" s="23">
        <f>Assumptions!$B$3*B31</f>
        <v>150.5694126968273</v>
      </c>
      <c r="C32" s="23">
        <f>Assumptions!$B$3*C31</f>
        <v>146.39762709871343</v>
      </c>
    </row>
    <row r="33" spans="1:3" x14ac:dyDescent="0.2">
      <c r="A33" s="1" t="s">
        <v>82</v>
      </c>
      <c r="B33" s="11">
        <f>B31*Assumptions!$B$4</f>
        <v>90.341647618096388</v>
      </c>
      <c r="C33" s="11">
        <f>C31*Assumptions!$B$4</f>
        <v>87.838576259228063</v>
      </c>
    </row>
    <row r="34" spans="1:3" x14ac:dyDescent="0.2">
      <c r="A34" s="24" t="s">
        <v>83</v>
      </c>
      <c r="B34" s="29">
        <f>SUM(B31:B33)</f>
        <v>2047.7440126768515</v>
      </c>
      <c r="C34" s="29">
        <f>SUM(C31:C33)</f>
        <v>1991.0077285425027</v>
      </c>
    </row>
    <row r="35" spans="1:3" x14ac:dyDescent="0.2">
      <c r="A35" s="24" t="s">
        <v>84</v>
      </c>
      <c r="B35" s="11">
        <f>SUM(B13,B18)</f>
        <v>16875</v>
      </c>
      <c r="C35" s="11">
        <f>SUM(C13,C18)</f>
        <v>20250</v>
      </c>
    </row>
    <row r="37" spans="1:3" x14ac:dyDescent="0.2">
      <c r="A37" s="3" t="s">
        <v>85</v>
      </c>
    </row>
    <row r="38" spans="1:3" x14ac:dyDescent="0.2">
      <c r="A38" s="5" t="s">
        <v>86</v>
      </c>
      <c r="B38" t="s">
        <v>87</v>
      </c>
      <c r="C38" t="s">
        <v>88</v>
      </c>
    </row>
    <row r="39" spans="1:3" x14ac:dyDescent="0.2">
      <c r="A39" s="2" t="s">
        <v>89</v>
      </c>
      <c r="B39" t="s">
        <v>125</v>
      </c>
      <c r="C39" s="19">
        <v>1125</v>
      </c>
    </row>
    <row r="40" spans="1:3" x14ac:dyDescent="0.2">
      <c r="A40" s="2" t="s">
        <v>90</v>
      </c>
      <c r="B40" t="s">
        <v>125</v>
      </c>
      <c r="C40" s="19">
        <v>1125</v>
      </c>
    </row>
    <row r="41" spans="1:3" x14ac:dyDescent="0.2">
      <c r="A41" s="2" t="s">
        <v>91</v>
      </c>
      <c r="B41" t="s">
        <v>125</v>
      </c>
      <c r="C41" s="19">
        <v>1125</v>
      </c>
    </row>
    <row r="42" spans="1:3" x14ac:dyDescent="0.2">
      <c r="A42" s="2" t="s">
        <v>92</v>
      </c>
      <c r="B42" t="s">
        <v>60</v>
      </c>
      <c r="C42" s="19">
        <f>VLOOKUP(B42,$E$2:$F$10,2,FALSE)</f>
        <v>0</v>
      </c>
    </row>
    <row r="43" spans="1:3" x14ac:dyDescent="0.2">
      <c r="A43" s="1" t="s">
        <v>93</v>
      </c>
      <c r="B43" s="42" t="s">
        <v>89</v>
      </c>
      <c r="C43" s="39"/>
    </row>
    <row r="44" spans="1:3" x14ac:dyDescent="0.2">
      <c r="A44" s="1" t="s">
        <v>94</v>
      </c>
      <c r="C44" s="12">
        <f>SUM(C39:C42)</f>
        <v>3375</v>
      </c>
    </row>
    <row r="45" spans="1:3" x14ac:dyDescent="0.2">
      <c r="A45" s="1" t="s">
        <v>95</v>
      </c>
      <c r="C45" s="12">
        <f>C44-VLOOKUP(B43,A39:C42,3,FALSE)</f>
        <v>2250</v>
      </c>
    </row>
    <row r="46" spans="1:3" x14ac:dyDescent="0.2">
      <c r="A46" s="1" t="s">
        <v>96</v>
      </c>
      <c r="B46" s="12">
        <f>C45-B34</f>
        <v>202.25598732314847</v>
      </c>
      <c r="C46" s="12">
        <f>C45-C34</f>
        <v>258.99227145749728</v>
      </c>
    </row>
    <row r="47" spans="1:3" x14ac:dyDescent="0.2">
      <c r="A47" s="1" t="s">
        <v>97</v>
      </c>
      <c r="B47" s="12">
        <f>C44-B34</f>
        <v>1327.2559873231485</v>
      </c>
      <c r="C47" s="12">
        <f>C44-C34</f>
        <v>1383.9922714574973</v>
      </c>
    </row>
    <row r="48" spans="1:3" x14ac:dyDescent="0.2">
      <c r="A48" s="1" t="s">
        <v>98</v>
      </c>
      <c r="B48" s="12">
        <f>B46*12</f>
        <v>2427.0718478777817</v>
      </c>
      <c r="C48" s="12">
        <f>C46*12</f>
        <v>3107.9072574899674</v>
      </c>
    </row>
    <row r="49" spans="1:3" x14ac:dyDescent="0.2">
      <c r="A49" s="1" t="s">
        <v>99</v>
      </c>
      <c r="B49" s="12">
        <f>B47*12</f>
        <v>15927.071847877782</v>
      </c>
      <c r="C49" s="12">
        <f>C47*12</f>
        <v>16607.907257489969</v>
      </c>
    </row>
    <row r="50" spans="1:3" x14ac:dyDescent="0.2">
      <c r="A50" s="27"/>
    </row>
    <row r="51" spans="1:3" x14ac:dyDescent="0.2">
      <c r="A51" s="30" t="s">
        <v>100</v>
      </c>
    </row>
    <row r="52" spans="1:3" x14ac:dyDescent="0.2">
      <c r="A52" s="27" t="s">
        <v>101</v>
      </c>
      <c r="B52" s="35">
        <f>B48/$B$3</f>
        <v>1.0786985990567918E-2</v>
      </c>
      <c r="C52" s="35">
        <f>C48/$B$3</f>
        <v>1.3812921144399855E-2</v>
      </c>
    </row>
    <row r="53" spans="1:3" x14ac:dyDescent="0.2">
      <c r="A53" s="27" t="s">
        <v>102</v>
      </c>
      <c r="B53" s="35">
        <f>B49/$B$3</f>
        <v>7.0786985990567916E-2</v>
      </c>
      <c r="C53" s="35">
        <f>C49/$B$3</f>
        <v>7.3812921144399857E-2</v>
      </c>
    </row>
    <row r="54" spans="1:3" x14ac:dyDescent="0.2">
      <c r="A54" s="27" t="s">
        <v>103</v>
      </c>
      <c r="B54" s="35">
        <f>B48/B$35</f>
        <v>0.14382647987423891</v>
      </c>
      <c r="C54" s="35">
        <f>C48/C35</f>
        <v>0.15347690160444283</v>
      </c>
    </row>
    <row r="55" spans="1:3" x14ac:dyDescent="0.2">
      <c r="A55" s="27" t="s">
        <v>104</v>
      </c>
      <c r="B55" s="35">
        <f>B49/B$35</f>
        <v>0.94382647987423895</v>
      </c>
      <c r="C55" s="35">
        <f>C49/C$35</f>
        <v>0.82014356827110957</v>
      </c>
    </row>
    <row r="56" spans="1:3" x14ac:dyDescent="0.2">
      <c r="A56" s="27" t="s">
        <v>105</v>
      </c>
      <c r="B56" s="38">
        <f>$B$3/C$44</f>
        <v>66.666666666666671</v>
      </c>
      <c r="C56" s="39"/>
    </row>
    <row r="57" spans="1:3" x14ac:dyDescent="0.2">
      <c r="A57" s="27" t="s">
        <v>106</v>
      </c>
    </row>
    <row r="58" spans="1:3" x14ac:dyDescent="0.2">
      <c r="A58" s="27" t="s">
        <v>107</v>
      </c>
    </row>
    <row r="59" spans="1:3" x14ac:dyDescent="0.2">
      <c r="A59" s="27" t="s">
        <v>108</v>
      </c>
    </row>
    <row r="60" spans="1:3" x14ac:dyDescent="0.2">
      <c r="A60" s="27" t="s">
        <v>109</v>
      </c>
    </row>
  </sheetData>
  <mergeCells count="3">
    <mergeCell ref="B56:C56"/>
    <mergeCell ref="B1:C1"/>
    <mergeCell ref="B43:C43"/>
  </mergeCells>
  <hyperlinks>
    <hyperlink ref="B1" r:id="rId1" xr:uid="{00000000-0004-0000-0C00-000000000000}"/>
    <hyperlink ref="E1" r:id="rId2" xr:uid="{00000000-0004-0000-0C00-000001000000}"/>
  </hyperlinks>
  <pageMargins left="0.7" right="0.7" top="0.75" bottom="0.75" header="0.3" footer="0.3"/>
  <pageSetup orientation="portrait" horizontalDpi="0" verticalDpi="0"/>
  <headerFooter>
    <oddFooter>&amp;R_x000D_&amp;1#&amp;"Aptos"&amp;10&amp;KFF0000 Confidential with Personal Information</oddFooter>
  </headerFooter>
</worksheet>
</file>

<file path=docMetadata/LabelInfo.xml><?xml version="1.0" encoding="utf-8"?>
<clbl:labelList xmlns:clbl="http://schemas.microsoft.com/office/2020/mipLabelMetadata">
  <clbl:label id="{83bd1b4c-12e3-48ac-b6a4-a704fd36c130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Assumptions</vt:lpstr>
      <vt:lpstr>Master</vt:lpstr>
      <vt:lpstr>1514 Harrison Ave</vt:lpstr>
      <vt:lpstr>1175 21st St</vt:lpstr>
      <vt:lpstr>1429 Martin Luther King Jr Pkwy</vt:lpstr>
      <vt:lpstr>1206 39th St</vt:lpstr>
      <vt:lpstr>401 Franklin Ave</vt:lpstr>
      <vt:lpstr>1608 Mondamin Ave</vt:lpstr>
      <vt:lpstr>1064 27th St</vt:lpstr>
      <vt:lpstr>518 35th St</vt:lpstr>
      <vt:lpstr>1148 36th St</vt:lpstr>
      <vt:lpstr>template</vt:lpstr>
      <vt:lpstr>3900 11th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Gupta</dc:creator>
  <cp:lastModifiedBy>Armaan Gupta</cp:lastModifiedBy>
  <dcterms:created xsi:type="dcterms:W3CDTF">2025-10-24T18:13:33Z</dcterms:created>
  <dcterms:modified xsi:type="dcterms:W3CDTF">2025-10-29T15:41:26Z</dcterms:modified>
</cp:coreProperties>
</file>